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hibastu2-my.sharepoint.com/personal/cdfa3095_office365_chiba-u_jp/Documents/T.o.N.E/審査団/Applications-for-the-T.o.N.E.-Audition/"/>
    </mc:Choice>
  </mc:AlternateContent>
  <xr:revisionPtr revIDLastSave="769" documentId="8_{CC58DA26-D482-1E43-9E4D-DC138681196B}" xr6:coauthVersionLast="47" xr6:coauthVersionMax="47" xr10:uidLastSave="{7AEF01BB-1133-1B43-8194-1FA3672582E0}"/>
  <bookViews>
    <workbookView xWindow="0" yWindow="500" windowWidth="28800" windowHeight="16420" activeTab="2" xr2:uid="{849A8D4F-3042-564A-9D10-CA69F57C81A5}"/>
  </bookViews>
  <sheets>
    <sheet name="バンド" sheetId="11" r:id="rId1"/>
    <sheet name="出演可能時間" sheetId="12" r:id="rId2"/>
    <sheet name="タイムテーブル" sheetId="10" r:id="rId3"/>
    <sheet name="result" sheetId="26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0" l="1"/>
  <c r="E24" i="10"/>
  <c r="E25" i="10"/>
  <c r="E26" i="10"/>
  <c r="E27" i="10"/>
  <c r="E28" i="10"/>
  <c r="E29" i="10"/>
  <c r="E30" i="10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A23" i="10"/>
  <c r="C23" i="10"/>
  <c r="A24" i="10" s="1"/>
  <c r="C24" i="10" s="1"/>
  <c r="A25" i="10" s="1"/>
  <c r="C25" i="10" s="1"/>
  <c r="A26" i="10" s="1"/>
  <c r="C26" i="10" s="1"/>
  <c r="A27" i="10" s="1"/>
  <c r="C27" i="10" s="1"/>
  <c r="A28" i="10" s="1"/>
  <c r="C28" i="10" s="1"/>
  <c r="A29" i="10" s="1"/>
  <c r="C29" i="10" s="1"/>
  <c r="A30" i="10" s="1"/>
  <c r="C30" i="10" s="1"/>
  <c r="A31" i="10" s="1"/>
  <c r="C31" i="10" s="1"/>
  <c r="A32" i="10" s="1"/>
  <c r="C32" i="10" s="1"/>
  <c r="A33" i="10" s="1"/>
  <c r="C33" i="10" s="1"/>
  <c r="A34" i="10" s="1"/>
  <c r="C34" i="10" s="1"/>
  <c r="A35" i="10" s="1"/>
  <c r="C35" i="10" s="1"/>
  <c r="A36" i="10" s="1"/>
  <c r="C36" i="10" s="1"/>
  <c r="A37" i="10" s="1"/>
  <c r="C37" i="10" s="1"/>
  <c r="A38" i="10" s="1"/>
  <c r="C38" i="10" s="1"/>
  <c r="A39" i="10" s="1"/>
  <c r="C39" i="10" s="1"/>
  <c r="A40" i="10" s="1"/>
  <c r="C40" i="10" s="1"/>
  <c r="J14" i="11" l="1"/>
  <c r="L14" i="11" a="1"/>
  <c r="L14" i="11" s="1"/>
  <c r="M14" i="11" a="1"/>
  <c r="M14" i="11" s="1"/>
  <c r="N14" i="11" a="1"/>
  <c r="N14" i="11" s="1"/>
  <c r="O14" i="11" a="1"/>
  <c r="O14" i="11" s="1"/>
  <c r="P14" i="11" a="1"/>
  <c r="P14" i="11" s="1"/>
  <c r="Q14" i="11" a="1"/>
  <c r="Q14" i="11" s="1"/>
  <c r="R14" i="11" a="1"/>
  <c r="R14" i="11" s="1"/>
  <c r="S14" i="11" a="1"/>
  <c r="S14" i="11" s="1"/>
  <c r="J15" i="11"/>
  <c r="L15" i="11" a="1"/>
  <c r="L15" i="11" s="1"/>
  <c r="M15" i="11" a="1"/>
  <c r="M15" i="11" s="1"/>
  <c r="N15" i="11" a="1"/>
  <c r="N15" i="11" s="1"/>
  <c r="O15" i="11" a="1"/>
  <c r="O15" i="11" s="1"/>
  <c r="P15" i="11" a="1"/>
  <c r="P15" i="11" s="1"/>
  <c r="Q15" i="11" a="1"/>
  <c r="Q15" i="11" s="1"/>
  <c r="R15" i="11" a="1"/>
  <c r="R15" i="11" s="1"/>
  <c r="S15" i="11" a="1"/>
  <c r="S15" i="11" s="1"/>
  <c r="J16" i="11"/>
  <c r="L16" i="11" a="1"/>
  <c r="L16" i="11" s="1"/>
  <c r="M16" i="11" a="1"/>
  <c r="M16" i="11" s="1"/>
  <c r="N16" i="11" a="1"/>
  <c r="N16" i="11" s="1"/>
  <c r="O16" i="11" a="1"/>
  <c r="O16" i="11" s="1"/>
  <c r="P16" i="11" a="1"/>
  <c r="P16" i="11" s="1"/>
  <c r="Q16" i="11" a="1"/>
  <c r="Q16" i="11" s="1"/>
  <c r="R16" i="11" a="1"/>
  <c r="R16" i="11" s="1"/>
  <c r="S16" i="11" a="1"/>
  <c r="S16" i="11" s="1"/>
  <c r="J17" i="11"/>
  <c r="L17" i="11" a="1"/>
  <c r="L17" i="11" s="1"/>
  <c r="M17" i="11" a="1"/>
  <c r="M17" i="11" s="1"/>
  <c r="N17" i="11" a="1"/>
  <c r="N17" i="11" s="1"/>
  <c r="O17" i="11" a="1"/>
  <c r="O17" i="11" s="1"/>
  <c r="P17" i="11" a="1"/>
  <c r="P17" i="11" s="1"/>
  <c r="Q17" i="11" a="1"/>
  <c r="Q17" i="11" s="1"/>
  <c r="R17" i="11" a="1"/>
  <c r="R17" i="11" s="1"/>
  <c r="S17" i="11" a="1"/>
  <c r="S17" i="11" s="1"/>
  <c r="E2" i="10"/>
  <c r="E3" i="10" s="1"/>
  <c r="E4" i="10" s="1"/>
  <c r="E5" i="10" s="1"/>
  <c r="E6" i="10" s="1"/>
  <c r="E7" i="10" s="1"/>
  <c r="E8" i="10" s="1"/>
  <c r="E9" i="10" s="1"/>
  <c r="E10" i="10" s="1"/>
  <c r="E11" i="10" s="1"/>
  <c r="E12" i="10" s="1"/>
  <c r="J3" i="11"/>
  <c r="J4" i="11"/>
  <c r="J5" i="11"/>
  <c r="J6" i="11"/>
  <c r="J7" i="11"/>
  <c r="J8" i="11"/>
  <c r="J9" i="11"/>
  <c r="J10" i="11"/>
  <c r="J11" i="11"/>
  <c r="J12" i="11"/>
  <c r="J13" i="11"/>
  <c r="J2" i="11"/>
  <c r="I34" i="10" l="1"/>
  <c r="I15" i="10"/>
  <c r="I3" i="10"/>
  <c r="H2" i="10"/>
  <c r="I7" i="10"/>
  <c r="I38" i="10"/>
  <c r="I26" i="10"/>
  <c r="I19" i="10"/>
  <c r="I11" i="10"/>
  <c r="I40" i="10"/>
  <c r="I32" i="10"/>
  <c r="I28" i="10"/>
  <c r="I24" i="10"/>
  <c r="I21" i="10"/>
  <c r="I17" i="10"/>
  <c r="I13" i="10"/>
  <c r="I9" i="10"/>
  <c r="I5" i="10"/>
  <c r="H36" i="10"/>
  <c r="H32" i="10"/>
  <c r="H28" i="10"/>
  <c r="H24" i="10"/>
  <c r="H21" i="10"/>
  <c r="H17" i="10"/>
  <c r="H13" i="10"/>
  <c r="H9" i="10"/>
  <c r="H5" i="10"/>
  <c r="I30" i="10"/>
  <c r="I36" i="10"/>
  <c r="I39" i="10"/>
  <c r="I35" i="10"/>
  <c r="I31" i="10"/>
  <c r="I27" i="10"/>
  <c r="I23" i="10"/>
  <c r="I20" i="10"/>
  <c r="I16" i="10"/>
  <c r="I8" i="10"/>
  <c r="I4" i="10"/>
  <c r="H40" i="10"/>
  <c r="I12" i="10"/>
  <c r="H39" i="10"/>
  <c r="H35" i="10"/>
  <c r="H31" i="10"/>
  <c r="H27" i="10"/>
  <c r="H23" i="10"/>
  <c r="H20" i="10"/>
  <c r="H16" i="10"/>
  <c r="H12" i="10"/>
  <c r="H8" i="10"/>
  <c r="H4" i="10"/>
  <c r="H38" i="10"/>
  <c r="H34" i="10"/>
  <c r="H30" i="10"/>
  <c r="H26" i="10"/>
  <c r="H19" i="10"/>
  <c r="H15" i="10"/>
  <c r="H11" i="10"/>
  <c r="H7" i="10"/>
  <c r="H3" i="10"/>
  <c r="I37" i="10"/>
  <c r="I33" i="10"/>
  <c r="I29" i="10"/>
  <c r="I25" i="10"/>
  <c r="I22" i="10"/>
  <c r="I18" i="10"/>
  <c r="I14" i="10"/>
  <c r="I10" i="10"/>
  <c r="I6" i="10"/>
  <c r="I2" i="10"/>
  <c r="H37" i="10"/>
  <c r="H33" i="10"/>
  <c r="H29" i="10"/>
  <c r="H25" i="10"/>
  <c r="H22" i="10"/>
  <c r="H18" i="10"/>
  <c r="H14" i="10"/>
  <c r="H10" i="10"/>
  <c r="H6" i="10"/>
  <c r="G2" i="10"/>
  <c r="G6" i="10"/>
  <c r="G5" i="10"/>
  <c r="G4" i="10"/>
  <c r="G3" i="10"/>
  <c r="E13" i="10"/>
  <c r="L4" i="10" l="1" a="1"/>
  <c r="L4" i="10" s="1"/>
  <c r="Q4" i="10" a="1"/>
  <c r="Q4" i="10" s="1"/>
  <c r="M4" i="10" a="1"/>
  <c r="M4" i="10" s="1"/>
  <c r="N4" i="10" a="1"/>
  <c r="N4" i="10" s="1"/>
  <c r="O4" i="10" a="1"/>
  <c r="O4" i="10" s="1"/>
  <c r="P4" i="10" a="1"/>
  <c r="P4" i="10" s="1"/>
  <c r="O37" i="10" a="1"/>
  <c r="O37" i="10" s="1"/>
  <c r="P37" i="10" a="1"/>
  <c r="P37" i="10" s="1"/>
  <c r="L37" i="10" a="1"/>
  <c r="L37" i="10" s="1"/>
  <c r="Q37" i="10" a="1"/>
  <c r="Q37" i="10" s="1"/>
  <c r="M37" i="10" a="1"/>
  <c r="M37" i="10" s="1"/>
  <c r="N37" i="10" a="1"/>
  <c r="N37" i="10" s="1"/>
  <c r="P21" i="10" a="1"/>
  <c r="P21" i="10" s="1"/>
  <c r="Q21" i="10" a="1"/>
  <c r="Q21" i="10" s="1"/>
  <c r="L21" i="10" a="1"/>
  <c r="L21" i="10" s="1"/>
  <c r="M21" i="10" a="1"/>
  <c r="M21" i="10" s="1"/>
  <c r="N21" i="10" a="1"/>
  <c r="N21" i="10" s="1"/>
  <c r="O21" i="10" a="1"/>
  <c r="O21" i="10" s="1"/>
  <c r="O30" i="10" a="1"/>
  <c r="O30" i="10" s="1"/>
  <c r="P30" i="10" a="1"/>
  <c r="P30" i="10" s="1"/>
  <c r="Q30" i="10" a="1"/>
  <c r="Q30" i="10" s="1"/>
  <c r="L30" i="10" a="1"/>
  <c r="L30" i="10" s="1"/>
  <c r="M30" i="10" a="1"/>
  <c r="M30" i="10" s="1"/>
  <c r="N30" i="10" a="1"/>
  <c r="N30" i="10" s="1"/>
  <c r="O7" i="10" a="1"/>
  <c r="O7" i="10" s="1"/>
  <c r="P7" i="10" a="1"/>
  <c r="P7" i="10" s="1"/>
  <c r="Q7" i="10" a="1"/>
  <c r="Q7" i="10" s="1"/>
  <c r="L7" i="10" a="1"/>
  <c r="L7" i="10" s="1"/>
  <c r="M7" i="10" a="1"/>
  <c r="M7" i="10" s="1"/>
  <c r="N7" i="10" a="1"/>
  <c r="N7" i="10" s="1"/>
  <c r="X7" i="10" a="1"/>
  <c r="X7" i="10" s="1"/>
  <c r="AF7" i="10" s="1" a="1"/>
  <c r="AF7" i="10" s="1"/>
  <c r="M40" i="10" a="1"/>
  <c r="M40" i="10" s="1"/>
  <c r="N40" i="10" a="1"/>
  <c r="N40" i="10" s="1"/>
  <c r="O40" i="10" a="1"/>
  <c r="O40" i="10" s="1"/>
  <c r="P40" i="10" a="1"/>
  <c r="P40" i="10" s="1"/>
  <c r="Q40" i="10" a="1"/>
  <c r="Q40" i="10" s="1"/>
  <c r="L40" i="10" a="1"/>
  <c r="L40" i="10" s="1"/>
  <c r="Q26" i="10" a="1"/>
  <c r="Q26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M9" i="10" a="1"/>
  <c r="M9" i="10" s="1"/>
  <c r="N9" i="10" a="1"/>
  <c r="N9" i="10" s="1"/>
  <c r="O9" i="10" a="1"/>
  <c r="O9" i="10" s="1"/>
  <c r="P9" i="10" a="1"/>
  <c r="P9" i="10" s="1"/>
  <c r="Q9" i="10" a="1"/>
  <c r="Q9" i="10" s="1"/>
  <c r="L9" i="10" a="1"/>
  <c r="L9" i="10" s="1"/>
  <c r="M17" i="10" a="1"/>
  <c r="M17" i="10" s="1"/>
  <c r="N17" i="10" a="1"/>
  <c r="N17" i="10" s="1"/>
  <c r="O17" i="10" a="1"/>
  <c r="O17" i="10" s="1"/>
  <c r="P17" i="10" a="1"/>
  <c r="P17" i="10" s="1"/>
  <c r="Q17" i="10" a="1"/>
  <c r="Q17" i="10" s="1"/>
  <c r="L17" i="10" a="1"/>
  <c r="L17" i="10" s="1"/>
  <c r="M10" i="10" a="1"/>
  <c r="M10" i="10" s="1"/>
  <c r="N10" i="10" a="1"/>
  <c r="N10" i="10" s="1"/>
  <c r="O10" i="10" a="1"/>
  <c r="O10" i="10" s="1"/>
  <c r="P10" i="10" a="1"/>
  <c r="P10" i="10" s="1"/>
  <c r="L10" i="10" a="1"/>
  <c r="L10" i="10" s="1"/>
  <c r="Q10" i="10" a="1"/>
  <c r="Q10" i="10" s="1"/>
  <c r="M24" i="10" a="1"/>
  <c r="M24" i="10" s="1"/>
  <c r="N24" i="10" a="1"/>
  <c r="N24" i="10" s="1"/>
  <c r="O24" i="10" a="1"/>
  <c r="O24" i="10" s="1"/>
  <c r="P24" i="10" a="1"/>
  <c r="P24" i="10" s="1"/>
  <c r="Q24" i="10" a="1"/>
  <c r="Q24" i="10" s="1"/>
  <c r="L24" i="10" a="1"/>
  <c r="L24" i="10" s="1"/>
  <c r="L35" i="10" a="1"/>
  <c r="L35" i="10" s="1"/>
  <c r="Q35" i="10" a="1"/>
  <c r="Q35" i="10" s="1"/>
  <c r="M35" i="10" a="1"/>
  <c r="M35" i="10" s="1"/>
  <c r="N35" i="10" a="1"/>
  <c r="N35" i="10" s="1"/>
  <c r="O35" i="10" a="1"/>
  <c r="O35" i="10" s="1"/>
  <c r="P35" i="10" a="1"/>
  <c r="P35" i="10" s="1"/>
  <c r="N39" i="10" a="1"/>
  <c r="N39" i="10" s="1"/>
  <c r="O39" i="10" a="1"/>
  <c r="O39" i="10" s="1"/>
  <c r="P39" i="10" a="1"/>
  <c r="P39" i="10" s="1"/>
  <c r="L39" i="10" a="1"/>
  <c r="L39" i="10" s="1"/>
  <c r="Q39" i="10" a="1"/>
  <c r="Q39" i="10" s="1"/>
  <c r="M39" i="10" a="1"/>
  <c r="M39" i="10" s="1"/>
  <c r="L20" i="10" a="1"/>
  <c r="L20" i="10" s="1"/>
  <c r="Q20" i="10" a="1"/>
  <c r="Q20" i="10" s="1"/>
  <c r="M20" i="10" a="1"/>
  <c r="M20" i="10" s="1"/>
  <c r="N20" i="10" a="1"/>
  <c r="N20" i="10" s="1"/>
  <c r="O20" i="10" a="1"/>
  <c r="O20" i="10" s="1"/>
  <c r="P20" i="10" a="1"/>
  <c r="P20" i="10" s="1"/>
  <c r="N2" i="10" a="1"/>
  <c r="N2" i="10" s="1"/>
  <c r="T2" i="10" s="1" a="1"/>
  <c r="T2" i="10" s="1"/>
  <c r="O2" i="10" a="1"/>
  <c r="O2" i="10" s="1"/>
  <c r="U2" i="10" s="1" a="1"/>
  <c r="U2" i="10" s="1"/>
  <c r="P2" i="10" a="1"/>
  <c r="P2" i="10" s="1"/>
  <c r="V2" i="10" s="1" a="1"/>
  <c r="V2" i="10" s="1"/>
  <c r="Q2" i="10" a="1"/>
  <c r="Q2" i="10" s="1"/>
  <c r="L2" i="10" a="1"/>
  <c r="L2" i="10" s="1"/>
  <c r="R2" i="10" s="1" a="1"/>
  <c r="R2" i="10" s="1"/>
  <c r="M2" i="10" a="1"/>
  <c r="M2" i="10" s="1"/>
  <c r="S2" i="10" s="1" a="1"/>
  <c r="S2" i="10" s="1"/>
  <c r="M32" i="10" a="1"/>
  <c r="M32" i="10" s="1"/>
  <c r="N32" i="10" a="1"/>
  <c r="N32" i="10" s="1"/>
  <c r="O32" i="10" a="1"/>
  <c r="O32" i="10" s="1"/>
  <c r="P32" i="10" a="1"/>
  <c r="P32" i="10" s="1"/>
  <c r="Q32" i="10" a="1"/>
  <c r="Q32" i="10" s="1"/>
  <c r="L32" i="10" a="1"/>
  <c r="L32" i="10" s="1"/>
  <c r="O29" i="10" a="1"/>
  <c r="O29" i="10" s="1"/>
  <c r="P29" i="10" a="1"/>
  <c r="P29" i="10" s="1"/>
  <c r="L29" i="10" a="1"/>
  <c r="L29" i="10" s="1"/>
  <c r="Q29" i="10" a="1"/>
  <c r="Q29" i="10" s="1"/>
  <c r="M29" i="10" a="1"/>
  <c r="M29" i="10" s="1"/>
  <c r="N29" i="10" a="1"/>
  <c r="N29" i="10" s="1"/>
  <c r="L12" i="10" a="1"/>
  <c r="L12" i="10" s="1"/>
  <c r="Q12" i="10" a="1"/>
  <c r="Q12" i="10" s="1"/>
  <c r="M12" i="10" a="1"/>
  <c r="M12" i="10" s="1"/>
  <c r="N12" i="10" a="1"/>
  <c r="N12" i="10" s="1"/>
  <c r="O12" i="10" a="1"/>
  <c r="O12" i="10" s="1"/>
  <c r="P12" i="10" a="1"/>
  <c r="P12" i="10" s="1"/>
  <c r="P13" i="10" a="1"/>
  <c r="P13" i="10" s="1"/>
  <c r="Q13" i="10" a="1"/>
  <c r="Q13" i="10" s="1"/>
  <c r="L13" i="10" a="1"/>
  <c r="L13" i="10" s="1"/>
  <c r="M13" i="10" a="1"/>
  <c r="M13" i="10" s="1"/>
  <c r="N13" i="10" a="1"/>
  <c r="N13" i="10" s="1"/>
  <c r="O13" i="10" a="1"/>
  <c r="O13" i="10" s="1"/>
  <c r="Q19" i="10" a="1"/>
  <c r="Q19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N16" i="10" a="1"/>
  <c r="N16" i="10" s="1"/>
  <c r="O16" i="10" a="1"/>
  <c r="O16" i="10" s="1"/>
  <c r="P16" i="10" a="1"/>
  <c r="P16" i="10" s="1"/>
  <c r="L16" i="10" a="1"/>
  <c r="L16" i="10" s="1"/>
  <c r="Q16" i="10" a="1"/>
  <c r="Q16" i="10" s="1"/>
  <c r="M16" i="10" a="1"/>
  <c r="M16" i="10" s="1"/>
  <c r="N23" i="10" a="1"/>
  <c r="N23" i="10" s="1"/>
  <c r="O23" i="10" a="1"/>
  <c r="O23" i="10" s="1"/>
  <c r="P23" i="10" a="1"/>
  <c r="P23" i="10" s="1"/>
  <c r="L23" i="10" a="1"/>
  <c r="L23" i="10" s="1"/>
  <c r="Q23" i="10" a="1"/>
  <c r="Q23" i="10" s="1"/>
  <c r="M23" i="10" a="1"/>
  <c r="M23" i="10" s="1"/>
  <c r="O14" i="10" a="1"/>
  <c r="O14" i="10" s="1"/>
  <c r="P14" i="10" a="1"/>
  <c r="P14" i="10" s="1"/>
  <c r="L14" i="10" a="1"/>
  <c r="L14" i="10" s="1"/>
  <c r="Q14" i="10" a="1"/>
  <c r="Q14" i="10" s="1"/>
  <c r="M14" i="10" a="1"/>
  <c r="M14" i="10" s="1"/>
  <c r="N14" i="10" a="1"/>
  <c r="N14" i="10" s="1"/>
  <c r="M18" i="10" a="1"/>
  <c r="M18" i="10" s="1"/>
  <c r="N18" i="10" a="1"/>
  <c r="N18" i="10" s="1"/>
  <c r="O18" i="10" a="1"/>
  <c r="O18" i="10" s="1"/>
  <c r="P18" i="10" a="1"/>
  <c r="P18" i="10" s="1"/>
  <c r="L18" i="10" a="1"/>
  <c r="L18" i="10" s="1"/>
  <c r="Q18" i="10" a="1"/>
  <c r="Q18" i="10" s="1"/>
  <c r="Q34" i="10" a="1"/>
  <c r="Q34" i="10" s="1"/>
  <c r="L34" i="10" a="1"/>
  <c r="L34" i="10" s="1"/>
  <c r="M34" i="10" a="1"/>
  <c r="M34" i="10" s="1"/>
  <c r="N34" i="10" a="1"/>
  <c r="N34" i="10" s="1"/>
  <c r="O34" i="10" a="1"/>
  <c r="O34" i="10" s="1"/>
  <c r="P34" i="10" a="1"/>
  <c r="P34" i="10" s="1"/>
  <c r="N31" i="10" a="1"/>
  <c r="N31" i="10" s="1"/>
  <c r="O31" i="10" a="1"/>
  <c r="O31" i="10" s="1"/>
  <c r="P31" i="10" a="1"/>
  <c r="P31" i="10" s="1"/>
  <c r="L31" i="10" a="1"/>
  <c r="L31" i="10" s="1"/>
  <c r="Q31" i="10" a="1"/>
  <c r="Q31" i="10" s="1"/>
  <c r="M31" i="10" a="1"/>
  <c r="M31" i="10" s="1"/>
  <c r="O6" i="10" a="1"/>
  <c r="O6" i="10" s="1"/>
  <c r="P6" i="10" a="1"/>
  <c r="P6" i="10" s="1"/>
  <c r="L6" i="10" a="1"/>
  <c r="L6" i="10" s="1"/>
  <c r="Q6" i="10" a="1"/>
  <c r="Q6" i="10" s="1"/>
  <c r="M6" i="10" a="1"/>
  <c r="M6" i="10" s="1"/>
  <c r="N6" i="10" a="1"/>
  <c r="N6" i="10" s="1"/>
  <c r="M33" i="10" a="1"/>
  <c r="M33" i="10" s="1"/>
  <c r="N33" i="10" a="1"/>
  <c r="N33" i="10" s="1"/>
  <c r="O33" i="10" a="1"/>
  <c r="O33" i="10" s="1"/>
  <c r="P33" i="10" a="1"/>
  <c r="P33" i="10" s="1"/>
  <c r="L33" i="10" a="1"/>
  <c r="L33" i="10" s="1"/>
  <c r="Q33" i="10" a="1"/>
  <c r="Q33" i="10" s="1"/>
  <c r="M25" i="10" a="1"/>
  <c r="M25" i="10" s="1"/>
  <c r="N25" i="10" a="1"/>
  <c r="N25" i="10" s="1"/>
  <c r="O25" i="10" a="1"/>
  <c r="O25" i="10" s="1"/>
  <c r="P25" i="10" a="1"/>
  <c r="P25" i="10" s="1"/>
  <c r="L25" i="10" a="1"/>
  <c r="L25" i="10" s="1"/>
  <c r="Q25" i="10" a="1"/>
  <c r="Q25" i="10" s="1"/>
  <c r="O38" i="10" a="1"/>
  <c r="O38" i="10" s="1"/>
  <c r="P38" i="10" a="1"/>
  <c r="P38" i="10" s="1"/>
  <c r="Q38" i="10" a="1"/>
  <c r="Q38" i="10" s="1"/>
  <c r="L38" i="10" a="1"/>
  <c r="L38" i="10" s="1"/>
  <c r="M38" i="10" a="1"/>
  <c r="M38" i="10" s="1"/>
  <c r="N38" i="10" a="1"/>
  <c r="N38" i="10" s="1"/>
  <c r="P36" i="10" a="1"/>
  <c r="P36" i="10" s="1"/>
  <c r="Q36" i="10" a="1"/>
  <c r="Q36" i="10" s="1"/>
  <c r="L36" i="10" a="1"/>
  <c r="L36" i="10" s="1"/>
  <c r="M36" i="10" a="1"/>
  <c r="M36" i="10" s="1"/>
  <c r="N36" i="10" a="1"/>
  <c r="N36" i="10" s="1"/>
  <c r="O36" i="10" a="1"/>
  <c r="O36" i="10" s="1"/>
  <c r="Q11" i="10" a="1"/>
  <c r="Q11" i="10" s="1"/>
  <c r="L11" i="10" a="1"/>
  <c r="L11" i="10" s="1"/>
  <c r="M11" i="10" a="1"/>
  <c r="M11" i="10" s="1"/>
  <c r="N11" i="10" a="1"/>
  <c r="N11" i="10" s="1"/>
  <c r="O11" i="10" a="1"/>
  <c r="O11" i="10" s="1"/>
  <c r="P11" i="10" a="1"/>
  <c r="P11" i="10" s="1"/>
  <c r="O15" i="10" a="1"/>
  <c r="O15" i="10" s="1"/>
  <c r="P15" i="10" a="1"/>
  <c r="P15" i="10" s="1"/>
  <c r="Q15" i="10" a="1"/>
  <c r="Q15" i="10" s="1"/>
  <c r="L15" i="10" a="1"/>
  <c r="L15" i="10" s="1"/>
  <c r="M15" i="10" a="1"/>
  <c r="M15" i="10" s="1"/>
  <c r="N15" i="10" a="1"/>
  <c r="N15" i="10" s="1"/>
  <c r="O22" i="10" a="1"/>
  <c r="O22" i="10" s="1"/>
  <c r="P22" i="10" a="1"/>
  <c r="P22" i="10" s="1"/>
  <c r="L22" i="10" a="1"/>
  <c r="L22" i="10" s="1"/>
  <c r="Q22" i="10" a="1"/>
  <c r="Q22" i="10" s="1"/>
  <c r="M22" i="10" a="1"/>
  <c r="M22" i="10" s="1"/>
  <c r="N22" i="10" a="1"/>
  <c r="N22" i="10" s="1"/>
  <c r="P28" i="10" a="1"/>
  <c r="P28" i="10" s="1"/>
  <c r="Q28" i="10" a="1"/>
  <c r="Q28" i="10" s="1"/>
  <c r="L28" i="10" a="1"/>
  <c r="L28" i="10" s="1"/>
  <c r="M28" i="10" a="1"/>
  <c r="M28" i="10" s="1"/>
  <c r="N28" i="10" a="1"/>
  <c r="N28" i="10" s="1"/>
  <c r="O28" i="10" a="1"/>
  <c r="O28" i="10" s="1"/>
  <c r="Q3" i="10" a="1"/>
  <c r="Q3" i="10" s="1"/>
  <c r="W3" i="10" s="1" a="1"/>
  <c r="W3" i="10" s="1"/>
  <c r="L3" i="10" a="1"/>
  <c r="L3" i="10" s="1"/>
  <c r="R3" i="10" s="1" a="1"/>
  <c r="R3" i="10" s="1"/>
  <c r="M3" i="10" a="1"/>
  <c r="M3" i="10" s="1"/>
  <c r="S3" i="10" s="1" a="1"/>
  <c r="S3" i="10" s="1"/>
  <c r="N3" i="10" a="1"/>
  <c r="N3" i="10" s="1"/>
  <c r="T3" i="10" s="1" a="1"/>
  <c r="T3" i="10" s="1"/>
  <c r="O3" i="10" a="1"/>
  <c r="O3" i="10" s="1"/>
  <c r="U3" i="10" s="1" a="1"/>
  <c r="U3" i="10" s="1"/>
  <c r="P3" i="10" a="1"/>
  <c r="P3" i="10" s="1"/>
  <c r="V3" i="10" s="1" a="1"/>
  <c r="V3" i="10" s="1"/>
  <c r="L27" i="10" a="1"/>
  <c r="L27" i="10" s="1"/>
  <c r="Q27" i="10" a="1"/>
  <c r="Q27" i="10" s="1"/>
  <c r="M27" i="10" a="1"/>
  <c r="M27" i="10" s="1"/>
  <c r="N27" i="10" a="1"/>
  <c r="N27" i="10" s="1"/>
  <c r="O27" i="10" a="1"/>
  <c r="O27" i="10" s="1"/>
  <c r="P27" i="10" a="1"/>
  <c r="P27" i="10" s="1"/>
  <c r="P5" i="10" a="1"/>
  <c r="P5" i="10" s="1"/>
  <c r="Q5" i="10" a="1"/>
  <c r="Q5" i="10" s="1"/>
  <c r="L5" i="10" a="1"/>
  <c r="L5" i="10" s="1"/>
  <c r="M5" i="10" a="1"/>
  <c r="M5" i="10" s="1"/>
  <c r="N5" i="10" a="1"/>
  <c r="N5" i="10" s="1"/>
  <c r="O5" i="10" a="1"/>
  <c r="O5" i="10" s="1"/>
  <c r="N8" i="10" a="1"/>
  <c r="N8" i="10" s="1"/>
  <c r="O8" i="10" a="1"/>
  <c r="O8" i="10" s="1"/>
  <c r="P8" i="10" a="1"/>
  <c r="P8" i="10" s="1"/>
  <c r="L8" i="10" a="1"/>
  <c r="L8" i="10" s="1"/>
  <c r="Q8" i="10" a="1"/>
  <c r="Q8" i="10" s="1"/>
  <c r="M8" i="10" a="1"/>
  <c r="M8" i="10" s="1"/>
  <c r="J18" i="10"/>
  <c r="K18" i="10"/>
  <c r="K12" i="10"/>
  <c r="J12" i="10"/>
  <c r="K36" i="10"/>
  <c r="J36" i="10"/>
  <c r="K32" i="10"/>
  <c r="J32" i="10"/>
  <c r="K2" i="10"/>
  <c r="J2" i="10"/>
  <c r="K26" i="10"/>
  <c r="J26" i="10"/>
  <c r="K5" i="10"/>
  <c r="J5" i="10"/>
  <c r="J10" i="10"/>
  <c r="K10" i="10"/>
  <c r="K16" i="10"/>
  <c r="J16" i="10"/>
  <c r="J30" i="10"/>
  <c r="K30" i="10"/>
  <c r="J24" i="10"/>
  <c r="K24" i="10"/>
  <c r="J6" i="10"/>
  <c r="K6" i="10"/>
  <c r="J22" i="10"/>
  <c r="K22" i="10"/>
  <c r="K28" i="10"/>
  <c r="J28" i="10"/>
  <c r="K3" i="10"/>
  <c r="J3" i="10"/>
  <c r="J38" i="10"/>
  <c r="K38" i="10"/>
  <c r="J14" i="10"/>
  <c r="K14" i="10"/>
  <c r="J8" i="10"/>
  <c r="K8" i="10"/>
  <c r="K20" i="10"/>
  <c r="J20" i="10"/>
  <c r="K4" i="10"/>
  <c r="J4" i="10"/>
  <c r="K34" i="10"/>
  <c r="J34" i="10"/>
  <c r="AA33" i="10" a="1"/>
  <c r="AA33" i="10" s="1"/>
  <c r="AB33" i="10" a="1"/>
  <c r="AB33" i="10" s="1"/>
  <c r="AC33" i="10" a="1"/>
  <c r="AC33" i="10" s="1"/>
  <c r="X33" i="10" a="1"/>
  <c r="X33" i="10" s="1"/>
  <c r="AD33" i="10" a="1"/>
  <c r="AD33" i="10" s="1"/>
  <c r="Y33" i="10" a="1"/>
  <c r="Y33" i="10" s="1"/>
  <c r="Z33" i="10" a="1"/>
  <c r="Z33" i="10" s="1"/>
  <c r="AE33" i="10" a="1"/>
  <c r="AE33" i="10" s="1"/>
  <c r="AA37" i="10" a="1"/>
  <c r="AA37" i="10" s="1"/>
  <c r="AB37" i="10" a="1"/>
  <c r="AB37" i="10" s="1"/>
  <c r="AC37" i="10" a="1"/>
  <c r="AC37" i="10" s="1"/>
  <c r="X37" i="10" a="1"/>
  <c r="X37" i="10" s="1"/>
  <c r="AD37" i="10" a="1"/>
  <c r="AD37" i="10" s="1"/>
  <c r="Y37" i="10" a="1"/>
  <c r="Y37" i="10" s="1"/>
  <c r="Z37" i="10" a="1"/>
  <c r="Z37" i="10" s="1"/>
  <c r="AE37" i="10" a="1"/>
  <c r="AE37" i="10" s="1"/>
  <c r="AA39" i="10" a="1"/>
  <c r="AA39" i="10" s="1"/>
  <c r="AC39" i="10" a="1"/>
  <c r="AC39" i="10" s="1"/>
  <c r="AB39" i="10" a="1"/>
  <c r="AB39" i="10" s="1"/>
  <c r="X39" i="10" a="1"/>
  <c r="X39" i="10" s="1"/>
  <c r="AD39" i="10" a="1"/>
  <c r="AD39" i="10" s="1"/>
  <c r="Y39" i="10" a="1"/>
  <c r="Y39" i="10" s="1"/>
  <c r="Z39" i="10" a="1"/>
  <c r="Z39" i="10" s="1"/>
  <c r="AE39" i="10" a="1"/>
  <c r="AE39" i="10" s="1"/>
  <c r="AD18" i="10" a="1"/>
  <c r="AD18" i="10" s="1"/>
  <c r="X18" i="10" a="1"/>
  <c r="X18" i="10" s="1"/>
  <c r="Y18" i="10" a="1"/>
  <c r="Y18" i="10" s="1"/>
  <c r="AE18" i="10" a="1"/>
  <c r="AE18" i="10" s="1"/>
  <c r="Z18" i="10" a="1"/>
  <c r="Z18" i="10" s="1"/>
  <c r="AA18" i="10" a="1"/>
  <c r="AA18" i="10" s="1"/>
  <c r="AB18" i="10" a="1"/>
  <c r="AB18" i="10" s="1"/>
  <c r="AC18" i="10" a="1"/>
  <c r="AC18" i="10" s="1"/>
  <c r="X12" i="10" a="1"/>
  <c r="X12" i="10" s="1"/>
  <c r="AF12" i="10" s="1" a="1"/>
  <c r="AF12" i="10" s="1"/>
  <c r="Z12" i="10" a="1"/>
  <c r="Z12" i="10" s="1"/>
  <c r="AH12" i="10" s="1" a="1"/>
  <c r="AH12" i="10" s="1"/>
  <c r="AB12" i="10" a="1"/>
  <c r="AB12" i="10" s="1"/>
  <c r="AJ12" i="10" s="1" a="1"/>
  <c r="AJ12" i="10" s="1"/>
  <c r="AC12" i="10" a="1"/>
  <c r="AC12" i="10" s="1"/>
  <c r="AK12" i="10" s="1" a="1"/>
  <c r="AK12" i="10" s="1"/>
  <c r="AD12" i="10" a="1"/>
  <c r="AD12" i="10" s="1"/>
  <c r="AL12" i="10" s="1" a="1"/>
  <c r="AL12" i="10" s="1"/>
  <c r="AE12" i="10" a="1"/>
  <c r="AE12" i="10" s="1"/>
  <c r="AM12" i="10" s="1" a="1"/>
  <c r="AM12" i="10" s="1"/>
  <c r="Y12" i="10" a="1"/>
  <c r="Y12" i="10" s="1"/>
  <c r="AG12" i="10" s="1" a="1"/>
  <c r="AG12" i="10" s="1"/>
  <c r="AA12" i="10" a="1"/>
  <c r="AA12" i="10" s="1"/>
  <c r="AI12" i="10" s="1" a="1"/>
  <c r="AI12" i="10" s="1"/>
  <c r="X36" i="10" a="1"/>
  <c r="X36" i="10" s="1"/>
  <c r="AD36" i="10" a="1"/>
  <c r="AD36" i="10" s="1"/>
  <c r="Y36" i="10" a="1"/>
  <c r="Y36" i="10" s="1"/>
  <c r="AE36" i="10" a="1"/>
  <c r="AE36" i="10" s="1"/>
  <c r="Z36" i="10" a="1"/>
  <c r="Z36" i="10" s="1"/>
  <c r="AA36" i="10" a="1"/>
  <c r="AA36" i="10" s="1"/>
  <c r="AB36" i="10" a="1"/>
  <c r="AB36" i="10" s="1"/>
  <c r="AC36" i="10" a="1"/>
  <c r="AC36" i="10" s="1"/>
  <c r="AB27" i="10" a="1"/>
  <c r="AB27" i="10" s="1"/>
  <c r="AC27" i="10" a="1"/>
  <c r="AC27" i="10" s="1"/>
  <c r="AD27" i="10" a="1"/>
  <c r="AD27" i="10" s="1"/>
  <c r="X27" i="10" a="1"/>
  <c r="X27" i="10" s="1"/>
  <c r="AE27" i="10" a="1"/>
  <c r="AE27" i="10" s="1"/>
  <c r="Y27" i="10" a="1"/>
  <c r="Y27" i="10" s="1"/>
  <c r="Z27" i="10" a="1"/>
  <c r="Z27" i="10" s="1"/>
  <c r="AA27" i="10" a="1"/>
  <c r="AA27" i="10" s="1"/>
  <c r="AB19" i="10" a="1"/>
  <c r="AB19" i="10" s="1"/>
  <c r="AC19" i="10" a="1"/>
  <c r="AC19" i="10" s="1"/>
  <c r="AD19" i="10" a="1"/>
  <c r="AD19" i="10" s="1"/>
  <c r="X19" i="10" a="1"/>
  <c r="X19" i="10" s="1"/>
  <c r="AE19" i="10" a="1"/>
  <c r="AE19" i="10" s="1"/>
  <c r="Y19" i="10" a="1"/>
  <c r="Y19" i="10" s="1"/>
  <c r="Z19" i="10" a="1"/>
  <c r="Z19" i="10" s="1"/>
  <c r="AA19" i="10" a="1"/>
  <c r="AA19" i="10" s="1"/>
  <c r="X32" i="10" a="1"/>
  <c r="X32" i="10" s="1"/>
  <c r="AD32" i="10" a="1"/>
  <c r="AD32" i="10" s="1"/>
  <c r="AE32" i="10" a="1"/>
  <c r="AE32" i="10" s="1"/>
  <c r="Y32" i="10" a="1"/>
  <c r="Y32" i="10" s="1"/>
  <c r="Z32" i="10" a="1"/>
  <c r="Z32" i="10" s="1"/>
  <c r="AA32" i="10" a="1"/>
  <c r="AA32" i="10" s="1"/>
  <c r="AB32" i="10" a="1"/>
  <c r="AB32" i="10" s="1"/>
  <c r="AC32" i="10" a="1"/>
  <c r="AC32" i="10" s="1"/>
  <c r="AA2" i="10" a="1"/>
  <c r="AA2" i="10" s="1"/>
  <c r="AI2" i="10" s="1" a="1"/>
  <c r="AI2" i="10" s="1"/>
  <c r="X2" i="10" a="1"/>
  <c r="X2" i="10" s="1"/>
  <c r="AF2" i="10" s="1" a="1"/>
  <c r="AF2" i="10" s="1"/>
  <c r="AB2" i="10" a="1"/>
  <c r="AB2" i="10" s="1"/>
  <c r="AJ2" i="10" s="1" a="1"/>
  <c r="AJ2" i="10" s="1"/>
  <c r="AD2" i="10" a="1"/>
  <c r="AD2" i="10" s="1"/>
  <c r="AL2" i="10" s="1" a="1"/>
  <c r="AL2" i="10" s="1"/>
  <c r="AC2" i="10" a="1"/>
  <c r="AC2" i="10" s="1"/>
  <c r="AK2" i="10" s="1" a="1"/>
  <c r="AK2" i="10" s="1"/>
  <c r="Y2" i="10" a="1"/>
  <c r="Y2" i="10" s="1"/>
  <c r="AG2" i="10" s="1" a="1"/>
  <c r="AG2" i="10" s="1"/>
  <c r="Z2" i="10" a="1"/>
  <c r="Z2" i="10" s="1"/>
  <c r="AH2" i="10" s="1" a="1"/>
  <c r="AH2" i="10" s="1"/>
  <c r="AE2" i="10" a="1"/>
  <c r="AE2" i="10" s="1"/>
  <c r="AM2" i="10" s="1" a="1"/>
  <c r="AM2" i="10" s="1"/>
  <c r="Y17" i="10" a="1"/>
  <c r="Y17" i="10" s="1"/>
  <c r="AE17" i="10" a="1"/>
  <c r="AE17" i="10" s="1"/>
  <c r="Z17" i="10" a="1"/>
  <c r="Z17" i="10" s="1"/>
  <c r="AA17" i="10" a="1"/>
  <c r="AA17" i="10" s="1"/>
  <c r="AB17" i="10" a="1"/>
  <c r="AB17" i="10" s="1"/>
  <c r="AC17" i="10" a="1"/>
  <c r="AC17" i="10" s="1"/>
  <c r="AD17" i="10" a="1"/>
  <c r="AD17" i="10" s="1"/>
  <c r="X17" i="10" a="1"/>
  <c r="X17" i="10" s="1"/>
  <c r="Z13" i="10" a="1"/>
  <c r="Z13" i="10" s="1"/>
  <c r="AH13" i="10" s="1" a="1"/>
  <c r="AH13" i="10" s="1"/>
  <c r="AA13" i="10" a="1"/>
  <c r="AA13" i="10" s="1"/>
  <c r="AI13" i="10" s="1" a="1"/>
  <c r="AI13" i="10" s="1"/>
  <c r="AB13" i="10" a="1"/>
  <c r="AB13" i="10" s="1"/>
  <c r="AJ13" i="10" s="1" a="1"/>
  <c r="AJ13" i="10" s="1"/>
  <c r="AC13" i="10" a="1"/>
  <c r="AC13" i="10" s="1"/>
  <c r="AK13" i="10" s="1" a="1"/>
  <c r="AK13" i="10" s="1"/>
  <c r="AD13" i="10" a="1"/>
  <c r="AD13" i="10" s="1"/>
  <c r="AL13" i="10" s="1" a="1"/>
  <c r="AL13" i="10" s="1"/>
  <c r="X13" i="10" a="1"/>
  <c r="X13" i="10" s="1"/>
  <c r="AF13" i="10" s="1" a="1"/>
  <c r="AF13" i="10" s="1"/>
  <c r="Y13" i="10" a="1"/>
  <c r="Y13" i="10" s="1"/>
  <c r="AG13" i="10" s="1" a="1"/>
  <c r="AG13" i="10" s="1"/>
  <c r="AE13" i="10" a="1"/>
  <c r="AE13" i="10" s="1"/>
  <c r="AM13" i="10" s="1" a="1"/>
  <c r="AM13" i="10" s="1"/>
  <c r="X23" i="10" a="1"/>
  <c r="X23" i="10" s="1"/>
  <c r="AE23" i="10" a="1"/>
  <c r="AE23" i="10" s="1"/>
  <c r="Y23" i="10" a="1"/>
  <c r="Y23" i="10" s="1"/>
  <c r="Z23" i="10" a="1"/>
  <c r="Z23" i="10" s="1"/>
  <c r="AA23" i="10" a="1"/>
  <c r="AA23" i="10" s="1"/>
  <c r="AB23" i="10" a="1"/>
  <c r="AB23" i="10" s="1"/>
  <c r="AC23" i="10" a="1"/>
  <c r="AC23" i="10" s="1"/>
  <c r="AD23" i="10" a="1"/>
  <c r="AD23" i="10" s="1"/>
  <c r="AD9" i="10" a="1"/>
  <c r="AD9" i="10" s="1"/>
  <c r="AL9" i="10" s="1" a="1"/>
  <c r="AL9" i="10" s="1"/>
  <c r="X9" i="10" a="1"/>
  <c r="X9" i="10" s="1"/>
  <c r="AF9" i="10" s="1" a="1"/>
  <c r="AF9" i="10" s="1"/>
  <c r="Y9" i="10" a="1"/>
  <c r="Y9" i="10" s="1"/>
  <c r="AG9" i="10" s="1" a="1"/>
  <c r="AG9" i="10" s="1"/>
  <c r="AE9" i="10" a="1"/>
  <c r="AE9" i="10" s="1"/>
  <c r="AM9" i="10" s="1" a="1"/>
  <c r="AM9" i="10" s="1"/>
  <c r="Z9" i="10" a="1"/>
  <c r="Z9" i="10" s="1"/>
  <c r="AH9" i="10" s="1" a="1"/>
  <c r="AH9" i="10" s="1"/>
  <c r="AA9" i="10" a="1"/>
  <c r="AA9" i="10" s="1"/>
  <c r="AI9" i="10" s="1" a="1"/>
  <c r="AI9" i="10" s="1"/>
  <c r="AB9" i="10" a="1"/>
  <c r="AB9" i="10" s="1"/>
  <c r="AJ9" i="10" s="1" a="1"/>
  <c r="AJ9" i="10" s="1"/>
  <c r="AC9" i="10" a="1"/>
  <c r="AC9" i="10" s="1"/>
  <c r="AK9" i="10" s="1" a="1"/>
  <c r="AK9" i="10" s="1"/>
  <c r="X26" i="10" a="1"/>
  <c r="X26" i="10" s="1"/>
  <c r="AD26" i="10" a="1"/>
  <c r="AD26" i="10" s="1"/>
  <c r="Y26" i="10" a="1"/>
  <c r="Y26" i="10" s="1"/>
  <c r="Z26" i="10" a="1"/>
  <c r="Z26" i="10" s="1"/>
  <c r="AE26" i="10" a="1"/>
  <c r="AE26" i="10" s="1"/>
  <c r="AA26" i="10" a="1"/>
  <c r="AA26" i="10" s="1"/>
  <c r="AB26" i="10" a="1"/>
  <c r="AB26" i="10" s="1"/>
  <c r="AC26" i="10" a="1"/>
  <c r="AC26" i="10" s="1"/>
  <c r="Z5" i="10" a="1"/>
  <c r="Z5" i="10" s="1"/>
  <c r="AH5" i="10" s="1" a="1"/>
  <c r="AH5" i="10" s="1"/>
  <c r="AA5" i="10" a="1"/>
  <c r="AA5" i="10" s="1"/>
  <c r="AI5" i="10" s="1" a="1"/>
  <c r="AI5" i="10" s="1"/>
  <c r="AB5" i="10" a="1"/>
  <c r="AB5" i="10" s="1"/>
  <c r="AJ5" i="10" s="1" a="1"/>
  <c r="AJ5" i="10" s="1"/>
  <c r="AC5" i="10" a="1"/>
  <c r="AC5" i="10" s="1"/>
  <c r="AK5" i="10" s="1" a="1"/>
  <c r="AK5" i="10" s="1"/>
  <c r="AD5" i="10" a="1"/>
  <c r="AD5" i="10" s="1"/>
  <c r="AL5" i="10" s="1" a="1"/>
  <c r="AL5" i="10" s="1"/>
  <c r="AE5" i="10" a="1"/>
  <c r="AE5" i="10" s="1"/>
  <c r="AM5" i="10" s="1" a="1"/>
  <c r="AM5" i="10" s="1"/>
  <c r="X5" i="10" a="1"/>
  <c r="X5" i="10" s="1"/>
  <c r="AF5" i="10" s="1" a="1"/>
  <c r="AF5" i="10" s="1"/>
  <c r="Y5" i="10" a="1"/>
  <c r="Y5" i="10" s="1"/>
  <c r="AG5" i="10" s="1" a="1"/>
  <c r="AG5" i="10" s="1"/>
  <c r="AC10" i="10" a="1"/>
  <c r="AC10" i="10" s="1"/>
  <c r="AK10" i="10" s="1" a="1"/>
  <c r="AK10" i="10" s="1"/>
  <c r="AD10" i="10" a="1"/>
  <c r="AD10" i="10" s="1"/>
  <c r="AL10" i="10" s="1" a="1"/>
  <c r="AL10" i="10" s="1"/>
  <c r="Y10" i="10" a="1"/>
  <c r="Y10" i="10" s="1"/>
  <c r="AG10" i="10" s="1" a="1"/>
  <c r="AG10" i="10" s="1"/>
  <c r="Z10" i="10" a="1"/>
  <c r="Z10" i="10" s="1"/>
  <c r="AH10" i="10" s="1" a="1"/>
  <c r="AH10" i="10" s="1"/>
  <c r="AA10" i="10" a="1"/>
  <c r="AA10" i="10" s="1"/>
  <c r="AI10" i="10" s="1" a="1"/>
  <c r="AI10" i="10" s="1"/>
  <c r="AB10" i="10" a="1"/>
  <c r="AB10" i="10" s="1"/>
  <c r="AJ10" i="10" s="1" a="1"/>
  <c r="AJ10" i="10" s="1"/>
  <c r="AE10" i="10" a="1"/>
  <c r="AE10" i="10" s="1"/>
  <c r="AM10" i="10" s="1" a="1"/>
  <c r="AM10" i="10" s="1"/>
  <c r="X10" i="10" a="1"/>
  <c r="X10" i="10" s="1"/>
  <c r="AF10" i="10" s="1" a="1"/>
  <c r="AF10" i="10" s="1"/>
  <c r="Y31" i="10" a="1"/>
  <c r="Y31" i="10" s="1"/>
  <c r="AB31" i="10" a="1"/>
  <c r="AB31" i="10" s="1"/>
  <c r="Z31" i="10" a="1"/>
  <c r="Z31" i="10" s="1"/>
  <c r="AA31" i="10" a="1"/>
  <c r="AA31" i="10" s="1"/>
  <c r="AC31" i="10" a="1"/>
  <c r="AC31" i="10" s="1"/>
  <c r="AD31" i="10" a="1"/>
  <c r="AD31" i="10" s="1"/>
  <c r="X31" i="10" a="1"/>
  <c r="X31" i="10" s="1"/>
  <c r="AE31" i="10" a="1"/>
  <c r="AE31" i="10" s="1"/>
  <c r="AC40" i="10" a="1"/>
  <c r="AC40" i="10" s="1"/>
  <c r="X40" i="10" a="1"/>
  <c r="X40" i="10" s="1"/>
  <c r="Y40" i="10" a="1"/>
  <c r="Y40" i="10" s="1"/>
  <c r="AD40" i="10" a="1"/>
  <c r="AD40" i="10" s="1"/>
  <c r="AA40" i="10" a="1"/>
  <c r="AA40" i="10" s="1"/>
  <c r="AB40" i="10" a="1"/>
  <c r="AB40" i="10" s="1"/>
  <c r="Z40" i="10" a="1"/>
  <c r="Z40" i="10" s="1"/>
  <c r="AE40" i="10" a="1"/>
  <c r="AE40" i="10" s="1"/>
  <c r="AE3" i="10" a="1"/>
  <c r="AE3" i="10" s="1"/>
  <c r="AM3" i="10" s="1" a="1"/>
  <c r="AM3" i="10" s="1"/>
  <c r="Z3" i="10" a="1"/>
  <c r="Z3" i="10" s="1"/>
  <c r="AH3" i="10" s="1" a="1"/>
  <c r="AH3" i="10" s="1"/>
  <c r="AA3" i="10" a="1"/>
  <c r="AA3" i="10" s="1"/>
  <c r="AI3" i="10" s="1" a="1"/>
  <c r="AI3" i="10" s="1"/>
  <c r="X3" i="10" a="1"/>
  <c r="X3" i="10" s="1"/>
  <c r="AF3" i="10" s="1" a="1"/>
  <c r="AF3" i="10" s="1"/>
  <c r="Y3" i="10" a="1"/>
  <c r="Y3" i="10" s="1"/>
  <c r="AG3" i="10" s="1" a="1"/>
  <c r="AG3" i="10" s="1"/>
  <c r="AB3" i="10" a="1"/>
  <c r="AB3" i="10" s="1"/>
  <c r="AJ3" i="10" s="1" a="1"/>
  <c r="AJ3" i="10" s="1"/>
  <c r="AC3" i="10" a="1"/>
  <c r="AC3" i="10" s="1"/>
  <c r="AK3" i="10" s="1" a="1"/>
  <c r="AK3" i="10" s="1"/>
  <c r="AD3" i="10" a="1"/>
  <c r="AD3" i="10" s="1"/>
  <c r="AL3" i="10" s="1" a="1"/>
  <c r="AL3" i="10" s="1"/>
  <c r="AA16" i="10" a="1"/>
  <c r="AA16" i="10" s="1"/>
  <c r="AB16" i="10" a="1"/>
  <c r="AB16" i="10" s="1"/>
  <c r="AC16" i="10" a="1"/>
  <c r="AC16" i="10" s="1"/>
  <c r="AD16" i="10" a="1"/>
  <c r="AD16" i="10" s="1"/>
  <c r="X16" i="10" a="1"/>
  <c r="X16" i="10" s="1"/>
  <c r="AE16" i="10" a="1"/>
  <c r="AE16" i="10" s="1"/>
  <c r="Y16" i="10" a="1"/>
  <c r="Y16" i="10" s="1"/>
  <c r="Z16" i="10" a="1"/>
  <c r="Z16" i="10" s="1"/>
  <c r="AB30" i="10" a="1"/>
  <c r="AB30" i="10" s="1"/>
  <c r="AC30" i="10" a="1"/>
  <c r="AC30" i="10" s="1"/>
  <c r="X30" i="10" a="1"/>
  <c r="X30" i="10" s="1"/>
  <c r="AD30" i="10" a="1"/>
  <c r="AD30" i="10" s="1"/>
  <c r="Y30" i="10" a="1"/>
  <c r="Y30" i="10" s="1"/>
  <c r="Z30" i="10" a="1"/>
  <c r="Z30" i="10" s="1"/>
  <c r="AE30" i="10" a="1"/>
  <c r="AE30" i="10" s="1"/>
  <c r="AA30" i="10" a="1"/>
  <c r="AA30" i="10" s="1"/>
  <c r="X38" i="10" a="1"/>
  <c r="X38" i="10" s="1"/>
  <c r="Y38" i="10" a="1"/>
  <c r="Y38" i="10" s="1"/>
  <c r="AD38" i="10" a="1"/>
  <c r="AD38" i="10" s="1"/>
  <c r="AE38" i="10" a="1"/>
  <c r="AE38" i="10" s="1"/>
  <c r="Z38" i="10" a="1"/>
  <c r="Z38" i="10" s="1"/>
  <c r="AA38" i="10" a="1"/>
  <c r="AA38" i="10" s="1"/>
  <c r="AB38" i="10" a="1"/>
  <c r="AB38" i="10" s="1"/>
  <c r="AC38" i="10" a="1"/>
  <c r="AC38" i="10" s="1"/>
  <c r="AD4" i="10" a="1"/>
  <c r="AD4" i="10" s="1"/>
  <c r="AL4" i="10" s="1" a="1"/>
  <c r="AL4" i="10" s="1"/>
  <c r="X4" i="10" a="1"/>
  <c r="X4" i="10" s="1"/>
  <c r="AF4" i="10" s="1" a="1"/>
  <c r="AF4" i="10" s="1"/>
  <c r="Z4" i="10" a="1"/>
  <c r="Z4" i="10" s="1"/>
  <c r="AH4" i="10" s="1" a="1"/>
  <c r="AH4" i="10" s="1"/>
  <c r="AA4" i="10" a="1"/>
  <c r="AA4" i="10" s="1"/>
  <c r="AI4" i="10" s="1" a="1"/>
  <c r="AI4" i="10" s="1"/>
  <c r="AB4" i="10" a="1"/>
  <c r="AB4" i="10" s="1"/>
  <c r="AJ4" i="10" s="1" a="1"/>
  <c r="AJ4" i="10" s="1"/>
  <c r="AC4" i="10" a="1"/>
  <c r="AC4" i="10" s="1"/>
  <c r="AK4" i="10" s="1" a="1"/>
  <c r="AK4" i="10" s="1"/>
  <c r="AE4" i="10" a="1"/>
  <c r="AE4" i="10" s="1"/>
  <c r="AM4" i="10" s="1" a="1"/>
  <c r="AM4" i="10" s="1"/>
  <c r="Y4" i="10" a="1"/>
  <c r="Y4" i="10" s="1"/>
  <c r="AG4" i="10" s="1" a="1"/>
  <c r="AG4" i="10" s="1"/>
  <c r="AC24" i="10" a="1"/>
  <c r="AC24" i="10" s="1"/>
  <c r="X24" i="10" a="1"/>
  <c r="X24" i="10" s="1"/>
  <c r="AD24" i="10" a="1"/>
  <c r="AD24" i="10" s="1"/>
  <c r="Y24" i="10" a="1"/>
  <c r="Y24" i="10" s="1"/>
  <c r="AE24" i="10" a="1"/>
  <c r="AE24" i="10" s="1"/>
  <c r="Z24" i="10" a="1"/>
  <c r="Z24" i="10" s="1"/>
  <c r="AA24" i="10" a="1"/>
  <c r="AA24" i="10" s="1"/>
  <c r="AB24" i="10" a="1"/>
  <c r="AB24" i="10" s="1"/>
  <c r="X6" i="10" a="1"/>
  <c r="X6" i="10" s="1"/>
  <c r="AF6" i="10" s="1" a="1"/>
  <c r="AF6" i="10" s="1"/>
  <c r="AD6" i="10" a="1"/>
  <c r="AD6" i="10" s="1"/>
  <c r="AL6" i="10" s="1" a="1"/>
  <c r="AL6" i="10" s="1"/>
  <c r="Y6" i="10" a="1"/>
  <c r="Y6" i="10" s="1"/>
  <c r="AG6" i="10" s="1" a="1"/>
  <c r="AG6" i="10" s="1"/>
  <c r="AA6" i="10" a="1"/>
  <c r="AA6" i="10" s="1"/>
  <c r="AI6" i="10" s="1" a="1"/>
  <c r="AI6" i="10" s="1"/>
  <c r="AB6" i="10" a="1"/>
  <c r="AB6" i="10" s="1"/>
  <c r="AJ6" i="10" s="1" a="1"/>
  <c r="AJ6" i="10" s="1"/>
  <c r="AC6" i="10" a="1"/>
  <c r="AC6" i="10" s="1"/>
  <c r="AK6" i="10" s="1" a="1"/>
  <c r="AK6" i="10" s="1"/>
  <c r="AE6" i="10" a="1"/>
  <c r="AE6" i="10" s="1"/>
  <c r="AM6" i="10" s="1" a="1"/>
  <c r="AM6" i="10" s="1"/>
  <c r="Z6" i="10" a="1"/>
  <c r="Z6" i="10" s="1"/>
  <c r="AH6" i="10" s="1" a="1"/>
  <c r="AH6" i="10" s="1"/>
  <c r="AD22" i="10" a="1"/>
  <c r="AD22" i="10" s="1"/>
  <c r="X22" i="10" a="1"/>
  <c r="X22" i="10" s="1"/>
  <c r="Y22" i="10" a="1"/>
  <c r="Y22" i="10" s="1"/>
  <c r="AE22" i="10" a="1"/>
  <c r="AE22" i="10" s="1"/>
  <c r="Z22" i="10" a="1"/>
  <c r="Z22" i="10" s="1"/>
  <c r="AA22" i="10" a="1"/>
  <c r="AA22" i="10" s="1"/>
  <c r="AB22" i="10" a="1"/>
  <c r="AB22" i="10" s="1"/>
  <c r="AC22" i="10" a="1"/>
  <c r="AC22" i="10" s="1"/>
  <c r="X21" i="10" a="1"/>
  <c r="X21" i="10" s="1"/>
  <c r="Y21" i="10" a="1"/>
  <c r="Y21" i="10" s="1"/>
  <c r="AE21" i="10" a="1"/>
  <c r="AE21" i="10" s="1"/>
  <c r="Z21" i="10" a="1"/>
  <c r="Z21" i="10" s="1"/>
  <c r="AA21" i="10" a="1"/>
  <c r="AA21" i="10" s="1"/>
  <c r="AB21" i="10" a="1"/>
  <c r="AB21" i="10" s="1"/>
  <c r="AC21" i="10" a="1"/>
  <c r="AC21" i="10" s="1"/>
  <c r="AD21" i="10" a="1"/>
  <c r="AD21" i="10" s="1"/>
  <c r="AD29" i="10" a="1"/>
  <c r="AD29" i="10" s="1"/>
  <c r="X29" i="10" a="1"/>
  <c r="X29" i="10" s="1"/>
  <c r="Z29" i="10" a="1"/>
  <c r="Z29" i="10" s="1"/>
  <c r="Y29" i="10" a="1"/>
  <c r="Y29" i="10" s="1"/>
  <c r="AE29" i="10" a="1"/>
  <c r="AE29" i="10" s="1"/>
  <c r="AA29" i="10" a="1"/>
  <c r="AA29" i="10" s="1"/>
  <c r="AB29" i="10" a="1"/>
  <c r="AB29" i="10" s="1"/>
  <c r="AC29" i="10" a="1"/>
  <c r="AC29" i="10" s="1"/>
  <c r="Z35" i="10" a="1"/>
  <c r="Z35" i="10" s="1"/>
  <c r="AB35" i="10" a="1"/>
  <c r="AB35" i="10" s="1"/>
  <c r="AA35" i="10" a="1"/>
  <c r="AA35" i="10" s="1"/>
  <c r="AC35" i="10" a="1"/>
  <c r="AC35" i="10" s="1"/>
  <c r="AD35" i="10" a="1"/>
  <c r="AD35" i="10" s="1"/>
  <c r="X35" i="10" a="1"/>
  <c r="X35" i="10" s="1"/>
  <c r="Y35" i="10" a="1"/>
  <c r="Y35" i="10" s="1"/>
  <c r="AE35" i="10" a="1"/>
  <c r="AE35" i="10" s="1"/>
  <c r="Z28" i="10" a="1"/>
  <c r="Z28" i="10" s="1"/>
  <c r="AA28" i="10" a="1"/>
  <c r="AA28" i="10" s="1"/>
  <c r="AB28" i="10" a="1"/>
  <c r="AB28" i="10" s="1"/>
  <c r="AC28" i="10" a="1"/>
  <c r="AC28" i="10" s="1"/>
  <c r="AD28" i="10" a="1"/>
  <c r="AD28" i="10" s="1"/>
  <c r="X28" i="10" a="1"/>
  <c r="X28" i="10" s="1"/>
  <c r="Y28" i="10" a="1"/>
  <c r="Y28" i="10" s="1"/>
  <c r="AE28" i="10" a="1"/>
  <c r="AE28" i="10" s="1"/>
  <c r="Z20" i="10" a="1"/>
  <c r="Z20" i="10" s="1"/>
  <c r="AA20" i="10" a="1"/>
  <c r="AA20" i="10" s="1"/>
  <c r="AB20" i="10" a="1"/>
  <c r="AB20" i="10" s="1"/>
  <c r="AC20" i="10" a="1"/>
  <c r="AC20" i="10" s="1"/>
  <c r="AD20" i="10" a="1"/>
  <c r="AD20" i="10" s="1"/>
  <c r="X20" i="10" a="1"/>
  <c r="X20" i="10" s="1"/>
  <c r="AE20" i="10" a="1"/>
  <c r="AE20" i="10" s="1"/>
  <c r="Y20" i="10" a="1"/>
  <c r="Y20" i="10" s="1"/>
  <c r="AC15" i="10" a="1"/>
  <c r="AC15" i="10" s="1"/>
  <c r="AD15" i="10" a="1"/>
  <c r="AD15" i="10" s="1"/>
  <c r="X15" i="10" a="1"/>
  <c r="X15" i="10" s="1"/>
  <c r="AE15" i="10" a="1"/>
  <c r="AE15" i="10" s="1"/>
  <c r="Y15" i="10" a="1"/>
  <c r="Y15" i="10" s="1"/>
  <c r="Z15" i="10" a="1"/>
  <c r="Z15" i="10" s="1"/>
  <c r="AA15" i="10" a="1"/>
  <c r="AA15" i="10" s="1"/>
  <c r="AB15" i="10" a="1"/>
  <c r="AB15" i="10" s="1"/>
  <c r="AA7" i="10" a="1"/>
  <c r="AA7" i="10" s="1"/>
  <c r="AI7" i="10" s="1" a="1"/>
  <c r="AI7" i="10" s="1"/>
  <c r="AB7" i="10" a="1"/>
  <c r="AB7" i="10" s="1"/>
  <c r="AJ7" i="10" s="1" a="1"/>
  <c r="AJ7" i="10" s="1"/>
  <c r="AC7" i="10" a="1"/>
  <c r="AC7" i="10" s="1"/>
  <c r="AK7" i="10" s="1" a="1"/>
  <c r="AK7" i="10" s="1"/>
  <c r="AD7" i="10" a="1"/>
  <c r="AD7" i="10" s="1"/>
  <c r="AL7" i="10" s="1" a="1"/>
  <c r="AL7" i="10" s="1"/>
  <c r="AE7" i="10" a="1"/>
  <c r="AE7" i="10" s="1"/>
  <c r="AM7" i="10" s="1" a="1"/>
  <c r="AM7" i="10" s="1"/>
  <c r="Y7" i="10" a="1"/>
  <c r="Y7" i="10" s="1"/>
  <c r="AG7" i="10" s="1" a="1"/>
  <c r="AG7" i="10" s="1"/>
  <c r="Z7" i="10" a="1"/>
  <c r="Z7" i="10" s="1"/>
  <c r="AH7" i="10" s="1" a="1"/>
  <c r="AH7" i="10" s="1"/>
  <c r="X14" i="10" a="1"/>
  <c r="X14" i="10" s="1"/>
  <c r="Y14" i="10" a="1"/>
  <c r="Y14" i="10" s="1"/>
  <c r="AE14" i="10" a="1"/>
  <c r="AE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Y8" i="10" a="1"/>
  <c r="Y8" i="10" s="1"/>
  <c r="AG8" i="10" s="1" a="1"/>
  <c r="AG8" i="10" s="1"/>
  <c r="Z8" i="10" a="1"/>
  <c r="Z8" i="10" s="1"/>
  <c r="AH8" i="10" s="1" a="1"/>
  <c r="AH8" i="10" s="1"/>
  <c r="AA8" i="10" a="1"/>
  <c r="AA8" i="10" s="1"/>
  <c r="AI8" i="10" s="1" a="1"/>
  <c r="AI8" i="10" s="1"/>
  <c r="AD8" i="10" a="1"/>
  <c r="AD8" i="10" s="1"/>
  <c r="AL8" i="10" s="1" a="1"/>
  <c r="AL8" i="10" s="1"/>
  <c r="AE8" i="10" a="1"/>
  <c r="AE8" i="10" s="1"/>
  <c r="AM8" i="10" s="1" a="1"/>
  <c r="AM8" i="10" s="1"/>
  <c r="X8" i="10" a="1"/>
  <c r="X8" i="10" s="1"/>
  <c r="AF8" i="10" s="1" a="1"/>
  <c r="AF8" i="10" s="1"/>
  <c r="AB8" i="10" a="1"/>
  <c r="AB8" i="10" s="1"/>
  <c r="AJ8" i="10" s="1" a="1"/>
  <c r="AJ8" i="10" s="1"/>
  <c r="AC8" i="10" a="1"/>
  <c r="AC8" i="10" s="1"/>
  <c r="AK8" i="10" s="1" a="1"/>
  <c r="AK8" i="10" s="1"/>
  <c r="AA25" i="10" a="1"/>
  <c r="AA25" i="10" s="1"/>
  <c r="AB25" i="10" a="1"/>
  <c r="AB25" i="10" s="1"/>
  <c r="AC25" i="10" a="1"/>
  <c r="AC25" i="10" s="1"/>
  <c r="X25" i="10" a="1"/>
  <c r="X25" i="10" s="1"/>
  <c r="AD25" i="10" a="1"/>
  <c r="AD25" i="10" s="1"/>
  <c r="Y25" i="10" a="1"/>
  <c r="Y25" i="10" s="1"/>
  <c r="Z25" i="10" a="1"/>
  <c r="Z25" i="10" s="1"/>
  <c r="AE25" i="10" a="1"/>
  <c r="AE25" i="10" s="1"/>
  <c r="AC34" i="10" a="1"/>
  <c r="AC34" i="10" s="1"/>
  <c r="X34" i="10" a="1"/>
  <c r="X34" i="10" s="1"/>
  <c r="Y34" i="10" a="1"/>
  <c r="Y34" i="10" s="1"/>
  <c r="AD34" i="10" a="1"/>
  <c r="AD34" i="10" s="1"/>
  <c r="Z34" i="10" a="1"/>
  <c r="Z34" i="10" s="1"/>
  <c r="AE34" i="10" a="1"/>
  <c r="AE34" i="10" s="1"/>
  <c r="AA34" i="10" a="1"/>
  <c r="AA34" i="10" s="1"/>
  <c r="AB34" i="10" a="1"/>
  <c r="AB34" i="10" s="1"/>
  <c r="E14" i="10"/>
  <c r="K13" i="10" l="1"/>
  <c r="S16" i="10" a="1"/>
  <c r="S16" i="10" s="1"/>
  <c r="R19" i="10" a="1"/>
  <c r="R19" i="10" s="1"/>
  <c r="U17" i="10" a="1"/>
  <c r="U17" i="10" s="1"/>
  <c r="R13" i="10" a="1"/>
  <c r="R13" i="10" s="1"/>
  <c r="T19" i="10" a="1"/>
  <c r="T19" i="10" s="1"/>
  <c r="U14" i="10" a="1"/>
  <c r="U14" i="10" s="1"/>
  <c r="T33" i="10" a="1"/>
  <c r="T33" i="10" s="1"/>
  <c r="U31" i="10" a="1"/>
  <c r="U31" i="10" s="1"/>
  <c r="U11" i="10" a="1"/>
  <c r="U11" i="10" s="1"/>
  <c r="R4" i="10" a="1"/>
  <c r="R4" i="10" s="1"/>
  <c r="W29" i="10" a="1"/>
  <c r="W29" i="10" s="1"/>
  <c r="T28" i="10" a="1"/>
  <c r="T28" i="10" s="1"/>
  <c r="W31" i="10" a="1"/>
  <c r="W31" i="10" s="1"/>
  <c r="U19" i="10" a="1"/>
  <c r="U19" i="10" s="1"/>
  <c r="W9" i="10" a="1"/>
  <c r="W9" i="10" s="1"/>
  <c r="S4" i="10" a="1"/>
  <c r="S4" i="10" s="1"/>
  <c r="V37" i="10" a="1"/>
  <c r="V37" i="10" s="1"/>
  <c r="U16" i="10" a="1"/>
  <c r="U16" i="10" s="1"/>
  <c r="V4" i="10" a="1"/>
  <c r="V4" i="10" s="1"/>
  <c r="S39" i="10" a="1"/>
  <c r="S39" i="10" s="1"/>
  <c r="W2" i="10" a="1"/>
  <c r="W2" i="10" s="1"/>
  <c r="R21" i="10" a="1"/>
  <c r="R21" i="10" s="1"/>
  <c r="T31" i="10" a="1"/>
  <c r="T31" i="10" s="1"/>
  <c r="U4" i="10" a="1"/>
  <c r="U4" i="10" s="1"/>
  <c r="V28" i="10" a="1"/>
  <c r="V28" i="10" s="1"/>
  <c r="T32" i="10" a="1"/>
  <c r="T32" i="10" s="1"/>
  <c r="R24" i="10" a="1"/>
  <c r="R24" i="10" s="1"/>
  <c r="S17" i="10" a="1"/>
  <c r="S17" i="10" s="1"/>
  <c r="T13" i="10" a="1"/>
  <c r="T13" i="10" s="1"/>
  <c r="R35" i="10" a="1"/>
  <c r="R35" i="10" s="1"/>
  <c r="V33" i="10" a="1"/>
  <c r="V33" i="10" s="1"/>
  <c r="U21" i="10" a="1"/>
  <c r="U21" i="10" s="1"/>
  <c r="R39" i="10" a="1"/>
  <c r="R39" i="10" s="1"/>
  <c r="U39" i="10" a="1"/>
  <c r="U39" i="10" s="1"/>
  <c r="W32" i="10" a="1"/>
  <c r="W32" i="10" s="1"/>
  <c r="S19" i="10" a="1"/>
  <c r="S19" i="10" s="1"/>
  <c r="W24" i="10" a="1"/>
  <c r="W24" i="10" s="1"/>
  <c r="S29" i="10" a="1"/>
  <c r="S29" i="10" s="1"/>
  <c r="V5" i="10" a="1"/>
  <c r="V5" i="10" s="1"/>
  <c r="V32" i="10" a="1"/>
  <c r="V32" i="10" s="1"/>
  <c r="V9" i="10" a="1"/>
  <c r="V9" i="10" s="1"/>
  <c r="R26" i="10" a="1"/>
  <c r="R26" i="10" s="1"/>
  <c r="U24" i="10" a="1"/>
  <c r="U24" i="10" s="1"/>
  <c r="R28" i="10" a="1"/>
  <c r="R28" i="10" s="1"/>
  <c r="U13" i="10" a="1"/>
  <c r="U13" i="10" s="1"/>
  <c r="U35" i="10" a="1"/>
  <c r="U35" i="10" s="1"/>
  <c r="R6" i="10" a="1"/>
  <c r="R6" i="10" s="1"/>
  <c r="W33" i="10" a="1"/>
  <c r="W33" i="10" s="1"/>
  <c r="S12" i="10" a="1"/>
  <c r="S12" i="10" s="1"/>
  <c r="T9" i="10" a="1"/>
  <c r="T9" i="10" s="1"/>
  <c r="S6" i="10" a="1"/>
  <c r="S6" i="10" s="1"/>
  <c r="S13" i="10" a="1"/>
  <c r="S13" i="10" s="1"/>
  <c r="V24" i="10" a="1"/>
  <c r="V24" i="10" s="1"/>
  <c r="V29" i="10" a="1"/>
  <c r="V29" i="10" s="1"/>
  <c r="T22" i="10" a="1"/>
  <c r="T22" i="10" s="1"/>
  <c r="U12" i="10" a="1"/>
  <c r="U12" i="10" s="1"/>
  <c r="R33" i="10" a="1"/>
  <c r="R33" i="10" s="1"/>
  <c r="W13" i="10" a="1"/>
  <c r="W13" i="10" s="1"/>
  <c r="T29" i="10" a="1"/>
  <c r="T29" i="10" s="1"/>
  <c r="W17" i="10" a="1"/>
  <c r="W17" i="10" s="1"/>
  <c r="R34" i="10" a="1"/>
  <c r="R34" i="10" s="1"/>
  <c r="S24" i="10" a="1"/>
  <c r="S24" i="10" s="1"/>
  <c r="R8" i="10" a="1"/>
  <c r="R8" i="10" s="1"/>
  <c r="V22" i="10" a="1"/>
  <c r="V22" i="10" s="1"/>
  <c r="V13" i="10" a="1"/>
  <c r="V13" i="10" s="1"/>
  <c r="V35" i="10" a="1"/>
  <c r="V35" i="10" s="1"/>
  <c r="R16" i="10" a="1"/>
  <c r="R16" i="10" s="1"/>
  <c r="S15" i="10" a="1"/>
  <c r="S15" i="10" s="1"/>
  <c r="W28" i="10" a="1"/>
  <c r="W28" i="10" s="1"/>
  <c r="T37" i="10" a="1"/>
  <c r="T37" i="10" s="1"/>
  <c r="U27" i="10" a="1"/>
  <c r="U27" i="10" s="1"/>
  <c r="T35" i="10" a="1"/>
  <c r="T35" i="10" s="1"/>
  <c r="W15" i="10" a="1"/>
  <c r="W15" i="10" s="1"/>
  <c r="S35" i="10" a="1"/>
  <c r="S35" i="10" s="1"/>
  <c r="T4" i="10" a="1"/>
  <c r="T4" i="10" s="1"/>
  <c r="S8" i="10" a="1"/>
  <c r="S8" i="10" s="1"/>
  <c r="S5" i="10" a="1"/>
  <c r="S5" i="10" s="1"/>
  <c r="S38" i="10" a="1"/>
  <c r="S38" i="10" s="1"/>
  <c r="T40" i="10" a="1"/>
  <c r="T40" i="10" s="1"/>
  <c r="T6" i="10" a="1"/>
  <c r="T6" i="10" s="1"/>
  <c r="R31" i="10" a="1"/>
  <c r="R31" i="10" s="1"/>
  <c r="V16" i="10" a="1"/>
  <c r="V16" i="10" s="1"/>
  <c r="W19" i="10" a="1"/>
  <c r="W19" i="10" s="1"/>
  <c r="R14" i="10" a="1"/>
  <c r="R14" i="10" s="1"/>
  <c r="S31" i="10" a="1"/>
  <c r="S31" i="10" s="1"/>
  <c r="S32" i="10" a="1"/>
  <c r="S32" i="10" s="1"/>
  <c r="R22" i="10" a="1"/>
  <c r="R22" i="10" s="1"/>
  <c r="V39" i="10" a="1"/>
  <c r="V39" i="10" s="1"/>
  <c r="S37" i="10" a="1"/>
  <c r="S37" i="10" s="1"/>
  <c r="V12" i="10" a="1"/>
  <c r="V12" i="10" s="1"/>
  <c r="V19" i="10" a="1"/>
  <c r="V19" i="10" s="1"/>
  <c r="S9" i="10" a="1"/>
  <c r="S9" i="10" s="1"/>
  <c r="U9" i="10" a="1"/>
  <c r="U9" i="10" s="1"/>
  <c r="R32" i="10" a="1"/>
  <c r="R32" i="10" s="1"/>
  <c r="W6" i="10" a="1"/>
  <c r="W6" i="10" s="1"/>
  <c r="T18" i="10" a="1"/>
  <c r="T18" i="10" s="1"/>
  <c r="R29" i="10" a="1"/>
  <c r="R29" i="10" s="1"/>
  <c r="W8" i="10" a="1"/>
  <c r="W8" i="10" s="1"/>
  <c r="T14" i="10" a="1"/>
  <c r="T14" i="10" s="1"/>
  <c r="R11" i="10" a="1"/>
  <c r="R11" i="10" s="1"/>
  <c r="U8" i="10" a="1"/>
  <c r="U8" i="10" s="1"/>
  <c r="R27" i="10" a="1"/>
  <c r="R27" i="10" s="1"/>
  <c r="R18" i="10" a="1"/>
  <c r="R18" i="10" s="1"/>
  <c r="U29" i="10" a="1"/>
  <c r="U29" i="10" s="1"/>
  <c r="V17" i="10" a="1"/>
  <c r="V17" i="10" s="1"/>
  <c r="V21" i="10" a="1"/>
  <c r="V21" i="10" s="1"/>
  <c r="U22" i="10" a="1"/>
  <c r="U22" i="10" s="1"/>
  <c r="S33" i="10" a="1"/>
  <c r="S33" i="10" s="1"/>
  <c r="V14" i="10" a="1"/>
  <c r="V14" i="10" s="1"/>
  <c r="W11" i="10" a="1"/>
  <c r="W11" i="10" s="1"/>
  <c r="V27" i="10" a="1"/>
  <c r="V27" i="10" s="1"/>
  <c r="T12" i="10" a="1"/>
  <c r="T12" i="10" s="1"/>
  <c r="V11" i="10" a="1"/>
  <c r="V11" i="10" s="1"/>
  <c r="U40" i="10" a="1"/>
  <c r="U40" i="10" s="1"/>
  <c r="S34" i="10" a="1"/>
  <c r="S34" i="10" s="1"/>
  <c r="T21" i="10" a="1"/>
  <c r="T21" i="10" s="1"/>
  <c r="S22" i="10" a="1"/>
  <c r="S22" i="10" s="1"/>
  <c r="T8" i="10" a="1"/>
  <c r="T8" i="10" s="1"/>
  <c r="V15" i="10" a="1"/>
  <c r="V15" i="10" s="1"/>
  <c r="R17" i="10" a="1"/>
  <c r="R17" i="10" s="1"/>
  <c r="W12" i="10" a="1"/>
  <c r="W12" i="10" s="1"/>
  <c r="W21" i="10" a="1"/>
  <c r="W21" i="10" s="1"/>
  <c r="V30" i="10" a="1"/>
  <c r="V30" i="10" s="1"/>
  <c r="S30" i="10" a="1"/>
  <c r="S30" i="10" s="1"/>
  <c r="W34" i="10" a="1"/>
  <c r="W34" i="10" s="1"/>
  <c r="U26" i="10" a="1"/>
  <c r="U26" i="10" s="1"/>
  <c r="U36" i="10" a="1"/>
  <c r="U36" i="10" s="1"/>
  <c r="W14" i="10" a="1"/>
  <c r="W14" i="10" s="1"/>
  <c r="S11" i="10" a="1"/>
  <c r="S11" i="10" s="1"/>
  <c r="W39" i="10" a="1"/>
  <c r="W39" i="10" s="1"/>
  <c r="U6" i="10" a="1"/>
  <c r="U6" i="10" s="1"/>
  <c r="V40" i="10" a="1"/>
  <c r="V40" i="10" s="1"/>
  <c r="U28" i="10" a="1"/>
  <c r="U28" i="10" s="1"/>
  <c r="T27" i="10" a="1"/>
  <c r="T27" i="10" s="1"/>
  <c r="R20" i="10" a="1"/>
  <c r="R20" i="10" s="1"/>
  <c r="U37" i="10" a="1"/>
  <c r="U37" i="10" s="1"/>
  <c r="R9" i="10" a="1"/>
  <c r="R9" i="10" s="1"/>
  <c r="W5" i="10" a="1"/>
  <c r="W5" i="10" s="1"/>
  <c r="W20" i="10" a="1"/>
  <c r="W20" i="10" s="1"/>
  <c r="T38" i="10" a="1"/>
  <c r="T38" i="10" s="1"/>
  <c r="U20" i="10" a="1"/>
  <c r="U20" i="10" s="1"/>
  <c r="T23" i="10" a="1"/>
  <c r="T23" i="10" s="1"/>
  <c r="V8" i="10" a="1"/>
  <c r="V8" i="10" s="1"/>
  <c r="U18" i="10" a="1"/>
  <c r="U18" i="10" s="1"/>
  <c r="U15" i="10" a="1"/>
  <c r="U15" i="10" s="1"/>
  <c r="S25" i="10" a="1"/>
  <c r="S25" i="10" s="1"/>
  <c r="S18" i="10" a="1"/>
  <c r="S18" i="10" s="1"/>
  <c r="S7" i="10" a="1"/>
  <c r="S7" i="10" s="1"/>
  <c r="R25" i="10" a="1"/>
  <c r="R25" i="10" s="1"/>
  <c r="W10" i="10" a="1"/>
  <c r="W10" i="10" s="1"/>
  <c r="S36" i="10" a="1"/>
  <c r="S36" i="10" s="1"/>
  <c r="T36" i="10" a="1"/>
  <c r="T36" i="10" s="1"/>
  <c r="W23" i="10" a="1"/>
  <c r="W23" i="10" s="1"/>
  <c r="R40" i="10" a="1"/>
  <c r="R40" i="10" s="1"/>
  <c r="W35" i="10" a="1"/>
  <c r="W35" i="10" s="1"/>
  <c r="W16" i="10" a="1"/>
  <c r="W16" i="10" s="1"/>
  <c r="W37" i="10" a="1"/>
  <c r="W37" i="10" s="1"/>
  <c r="T7" i="10" a="1"/>
  <c r="T7" i="10" s="1"/>
  <c r="W22" i="10" a="1"/>
  <c r="W22" i="10" s="1"/>
  <c r="T5" i="10" a="1"/>
  <c r="T5" i="10" s="1"/>
  <c r="T24" i="10" a="1"/>
  <c r="T24" i="10" s="1"/>
  <c r="S28" i="10" a="1"/>
  <c r="S28" i="10" s="1"/>
  <c r="T39" i="10" a="1"/>
  <c r="T39" i="10" s="1"/>
  <c r="V6" i="10" a="1"/>
  <c r="V6" i="10" s="1"/>
  <c r="U5" i="10" a="1"/>
  <c r="U5" i="10" s="1"/>
  <c r="R15" i="10" a="1"/>
  <c r="R15" i="10" s="1"/>
  <c r="T16" i="10" a="1"/>
  <c r="T16" i="10" s="1"/>
  <c r="S21" i="10" a="1"/>
  <c r="S21" i="10" s="1"/>
  <c r="U32" i="10" a="1"/>
  <c r="U32" i="10" s="1"/>
  <c r="W4" i="10" a="1"/>
  <c r="W4" i="10" s="1"/>
  <c r="R12" i="10" a="1"/>
  <c r="R12" i="10" s="1"/>
  <c r="T11" i="10" a="1"/>
  <c r="T11" i="10" s="1"/>
  <c r="W40" i="10" a="1"/>
  <c r="W40" i="10" s="1"/>
  <c r="U33" i="10" a="1"/>
  <c r="U33" i="10" s="1"/>
  <c r="S14" i="10" a="1"/>
  <c r="S14" i="10" s="1"/>
  <c r="V31" i="10" a="1"/>
  <c r="V31" i="10" s="1"/>
  <c r="V38" i="10" a="1"/>
  <c r="V38" i="10" s="1"/>
  <c r="V18" i="10" a="1"/>
  <c r="V18" i="10" s="1"/>
  <c r="T20" i="10" a="1"/>
  <c r="T20" i="10" s="1"/>
  <c r="T10" i="10" a="1"/>
  <c r="T10" i="10" s="1"/>
  <c r="T30" i="10" a="1"/>
  <c r="T30" i="10" s="1"/>
  <c r="S23" i="10" a="1"/>
  <c r="S23" i="10" s="1"/>
  <c r="T15" i="10" a="1"/>
  <c r="T15" i="10" s="1"/>
  <c r="T17" i="10" a="1"/>
  <c r="T17" i="10" s="1"/>
  <c r="R5" i="10" a="1"/>
  <c r="R5" i="10" s="1"/>
  <c r="U30" i="10" a="1"/>
  <c r="U30" i="10" s="1"/>
  <c r="V10" i="10" a="1"/>
  <c r="V10" i="10" s="1"/>
  <c r="U10" i="10" a="1"/>
  <c r="U10" i="10" s="1"/>
  <c r="W36" i="10" a="1"/>
  <c r="W36" i="10" s="1"/>
  <c r="S27" i="10" a="1"/>
  <c r="S27" i="10" s="1"/>
  <c r="V34" i="10" a="1"/>
  <c r="V34" i="10" s="1"/>
  <c r="U25" i="10" a="1"/>
  <c r="U25" i="10" s="1"/>
  <c r="U34" i="10" a="1"/>
  <c r="U34" i="10" s="1"/>
  <c r="R37" i="10" a="1"/>
  <c r="R37" i="10" s="1"/>
  <c r="T26" i="10" a="1"/>
  <c r="T26" i="10" s="1"/>
  <c r="W18" i="10" a="1"/>
  <c r="W18" i="10" s="1"/>
  <c r="U38" i="10" a="1"/>
  <c r="U38" i="10" s="1"/>
  <c r="S10" i="10" a="1"/>
  <c r="S10" i="10" s="1"/>
  <c r="W26" i="10" a="1"/>
  <c r="W26" i="10" s="1"/>
  <c r="V7" i="10" a="1"/>
  <c r="V7" i="10" s="1"/>
  <c r="V23" i="10" a="1"/>
  <c r="V23" i="10" s="1"/>
  <c r="S40" i="10" a="1"/>
  <c r="S40" i="10" s="1"/>
  <c r="W27" i="10" a="1"/>
  <c r="W27" i="10" s="1"/>
  <c r="V36" i="10" a="1"/>
  <c r="V36" i="10" s="1"/>
  <c r="V20" i="10" a="1"/>
  <c r="V20" i="10" s="1"/>
  <c r="V25" i="10" a="1"/>
  <c r="V25" i="10" s="1"/>
  <c r="R38" i="10" a="1"/>
  <c r="R38" i="10" s="1"/>
  <c r="U23" i="10" a="1"/>
  <c r="U23" i="10" s="1"/>
  <c r="V26" i="10" a="1"/>
  <c r="V26" i="10" s="1"/>
  <c r="W7" i="10" a="1"/>
  <c r="W7" i="10" s="1"/>
  <c r="U7" i="10" a="1"/>
  <c r="U7" i="10" s="1"/>
  <c r="R10" i="10" a="1"/>
  <c r="R10" i="10" s="1"/>
  <c r="R30" i="10" a="1"/>
  <c r="R30" i="10" s="1"/>
  <c r="R36" i="10" a="1"/>
  <c r="R36" i="10" s="1"/>
  <c r="W25" i="10" a="1"/>
  <c r="W25" i="10" s="1"/>
  <c r="R23" i="10" a="1"/>
  <c r="R23" i="10" s="1"/>
  <c r="W38" i="10" a="1"/>
  <c r="W38" i="10" s="1"/>
  <c r="S20" i="10" a="1"/>
  <c r="S20" i="10" s="1"/>
  <c r="T25" i="10" a="1"/>
  <c r="T25" i="10" s="1"/>
  <c r="T34" i="10" a="1"/>
  <c r="T34" i="10" s="1"/>
  <c r="S26" i="10" a="1"/>
  <c r="S26" i="10" s="1"/>
  <c r="W30" i="10" a="1"/>
  <c r="W30" i="10" s="1"/>
  <c r="R7" i="10" a="1"/>
  <c r="R7" i="10" s="1"/>
  <c r="AF14" i="10" a="1"/>
  <c r="AF14" i="10" s="1"/>
  <c r="AL14" i="10" a="1"/>
  <c r="AL14" i="10" s="1"/>
  <c r="AK14" i="10" a="1"/>
  <c r="AK14" i="10" s="1"/>
  <c r="AJ14" i="10" a="1"/>
  <c r="AJ14" i="10" s="1"/>
  <c r="AI14" i="10" a="1"/>
  <c r="AI14" i="10" s="1"/>
  <c r="AH14" i="10" a="1"/>
  <c r="AH14" i="10" s="1"/>
  <c r="AM14" i="10" a="1"/>
  <c r="AM14" i="10" s="1"/>
  <c r="AG14" i="10" a="1"/>
  <c r="AG14" i="10" s="1"/>
  <c r="K7" i="10"/>
  <c r="K9" i="10"/>
  <c r="E15" i="10"/>
  <c r="AJ15" i="10" s="1" a="1"/>
  <c r="AJ15" i="10" s="1"/>
  <c r="J40" i="10" l="1"/>
  <c r="J39" i="10"/>
  <c r="J19" i="10"/>
  <c r="J33" i="10"/>
  <c r="J13" i="10"/>
  <c r="J35" i="10"/>
  <c r="J29" i="10"/>
  <c r="J17" i="10"/>
  <c r="J9" i="10"/>
  <c r="J31" i="10"/>
  <c r="J21" i="10"/>
  <c r="J11" i="10"/>
  <c r="J37" i="10"/>
  <c r="J27" i="10"/>
  <c r="J15" i="10"/>
  <c r="J23" i="10"/>
  <c r="J25" i="10"/>
  <c r="J7" i="10"/>
  <c r="AM15" i="10" a="1"/>
  <c r="AM15" i="10" s="1"/>
  <c r="AI15" i="10" a="1"/>
  <c r="AI15" i="10" s="1"/>
  <c r="AL15" i="10" a="1"/>
  <c r="AL15" i="10" s="1"/>
  <c r="AH15" i="10" a="1"/>
  <c r="AH15" i="10" s="1"/>
  <c r="AK15" i="10" a="1"/>
  <c r="AK15" i="10" s="1"/>
  <c r="AF15" i="10" a="1"/>
  <c r="AF15" i="10" s="1"/>
  <c r="AG15" i="10" a="1"/>
  <c r="AG15" i="10" s="1"/>
  <c r="E16" i="10"/>
  <c r="J41" i="10" l="1"/>
  <c r="K15" i="10"/>
  <c r="AH16" i="10" a="1"/>
  <c r="AH16" i="10" s="1"/>
  <c r="AM16" i="10" a="1"/>
  <c r="AM16" i="10" s="1"/>
  <c r="AF16" i="10" a="1"/>
  <c r="AF16" i="10" s="1"/>
  <c r="AG16" i="10" a="1"/>
  <c r="AG16" i="10" s="1"/>
  <c r="AK16" i="10" a="1"/>
  <c r="AK16" i="10" s="1"/>
  <c r="AL16" i="10" a="1"/>
  <c r="AL16" i="10" s="1"/>
  <c r="AJ16" i="10" a="1"/>
  <c r="AJ16" i="10" s="1"/>
  <c r="AI16" i="10" a="1"/>
  <c r="AI16" i="10" s="1"/>
  <c r="E17" i="10"/>
  <c r="AL17" i="10" l="1" a="1"/>
  <c r="AL17" i="10" s="1"/>
  <c r="AF17" i="10" a="1"/>
  <c r="AF17" i="10" s="1"/>
  <c r="AK17" i="10" a="1"/>
  <c r="AK17" i="10" s="1"/>
  <c r="AJ17" i="10" a="1"/>
  <c r="AJ17" i="10" s="1"/>
  <c r="AI17" i="10" a="1"/>
  <c r="AI17" i="10" s="1"/>
  <c r="AM17" i="10" a="1"/>
  <c r="AM17" i="10" s="1"/>
  <c r="AG17" i="10" a="1"/>
  <c r="AG17" i="10" s="1"/>
  <c r="AH17" i="10" a="1"/>
  <c r="AH17" i="10" s="1"/>
  <c r="E18" i="10"/>
  <c r="K17" i="10" l="1"/>
  <c r="AK18" i="10" a="1"/>
  <c r="AK18" i="10" s="1"/>
  <c r="AI18" i="10" a="1"/>
  <c r="AI18" i="10" s="1"/>
  <c r="AH18" i="10" a="1"/>
  <c r="AH18" i="10" s="1"/>
  <c r="AM18" i="10" a="1"/>
  <c r="AM18" i="10" s="1"/>
  <c r="AF18" i="10" a="1"/>
  <c r="AF18" i="10" s="1"/>
  <c r="AL18" i="10" a="1"/>
  <c r="AL18" i="10" s="1"/>
  <c r="AG18" i="10" a="1"/>
  <c r="AG18" i="10" s="1"/>
  <c r="AJ18" i="10" a="1"/>
  <c r="AJ18" i="10" s="1"/>
  <c r="E19" i="10"/>
  <c r="AG19" i="10" l="1" a="1"/>
  <c r="AG19" i="10" s="1"/>
  <c r="AM19" i="10" a="1"/>
  <c r="AM19" i="10" s="1"/>
  <c r="AH19" i="10" a="1"/>
  <c r="AH19" i="10" s="1"/>
  <c r="AL19" i="10" a="1"/>
  <c r="AL19" i="10" s="1"/>
  <c r="AF19" i="10" a="1"/>
  <c r="AF19" i="10" s="1"/>
  <c r="AK19" i="10" a="1"/>
  <c r="AK19" i="10" s="1"/>
  <c r="AJ19" i="10" a="1"/>
  <c r="AJ19" i="10" s="1"/>
  <c r="AI19" i="10" a="1"/>
  <c r="AI19" i="10" s="1"/>
  <c r="E20" i="10"/>
  <c r="K19" i="10" l="1"/>
  <c r="AK20" i="10" a="1"/>
  <c r="AK20" i="10" s="1"/>
  <c r="AG20" i="10" a="1"/>
  <c r="AG20" i="10" s="1"/>
  <c r="AL20" i="10" a="1"/>
  <c r="AL20" i="10" s="1"/>
  <c r="AJ20" i="10" a="1"/>
  <c r="AJ20" i="10" s="1"/>
  <c r="AH20" i="10" a="1"/>
  <c r="AH20" i="10" s="1"/>
  <c r="AF20" i="10" a="1"/>
  <c r="AF20" i="10" s="1"/>
  <c r="AI20" i="10" a="1"/>
  <c r="AI20" i="10" s="1"/>
  <c r="AM20" i="10" a="1"/>
  <c r="AM20" i="10" s="1"/>
  <c r="E21" i="10"/>
  <c r="AH21" i="10" l="1" a="1"/>
  <c r="AH21" i="10" s="1"/>
  <c r="AL21" i="10" a="1"/>
  <c r="AL21" i="10" s="1"/>
  <c r="AG21" i="10" a="1"/>
  <c r="AG21" i="10" s="1"/>
  <c r="AI21" i="10" a="1"/>
  <c r="AI21" i="10" s="1"/>
  <c r="AJ21" i="10" a="1"/>
  <c r="AJ21" i="10" s="1"/>
  <c r="AK21" i="10" a="1"/>
  <c r="AK21" i="10" s="1"/>
  <c r="AM21" i="10" a="1"/>
  <c r="AM21" i="10" s="1"/>
  <c r="AF21" i="10" a="1"/>
  <c r="AF21" i="10" s="1"/>
  <c r="E22" i="10"/>
  <c r="K21" i="10" l="1"/>
  <c r="AM22" i="10" a="1"/>
  <c r="AM22" i="10" s="1"/>
  <c r="AK22" i="10" a="1"/>
  <c r="AK22" i="10" s="1"/>
  <c r="AH22" i="10" a="1"/>
  <c r="AH22" i="10" s="1"/>
  <c r="AI22" i="10" a="1"/>
  <c r="AI22" i="10" s="1"/>
  <c r="AJ22" i="10" a="1"/>
  <c r="AJ22" i="10" s="1"/>
  <c r="AG22" i="10" a="1"/>
  <c r="AG22" i="10" s="1"/>
  <c r="AF22" i="10" a="1"/>
  <c r="AF22" i="10" s="1"/>
  <c r="AL22" i="10" a="1"/>
  <c r="AL22" i="10" s="1"/>
  <c r="C2" i="10" l="1"/>
  <c r="A3" i="10" s="1"/>
  <c r="C3" i="10" s="1"/>
  <c r="A4" i="10" s="1"/>
  <c r="C4" i="10" s="1"/>
  <c r="A5" i="10" s="1"/>
  <c r="C5" i="10" s="1"/>
  <c r="A6" i="10" s="1"/>
  <c r="C6" i="10" s="1"/>
  <c r="A7" i="10" s="1"/>
  <c r="C7" i="10" s="1"/>
  <c r="A8" i="10" s="1"/>
  <c r="C8" i="10" s="1"/>
  <c r="A9" i="10" s="1"/>
  <c r="C9" i="10" s="1"/>
  <c r="A10" i="10" s="1"/>
  <c r="C10" i="10" s="1"/>
  <c r="A11" i="10" s="1"/>
  <c r="C11" i="10" s="1"/>
  <c r="A12" i="10" s="1"/>
  <c r="C12" i="10" s="1"/>
  <c r="A13" i="10" s="1"/>
  <c r="C13" i="10" s="1"/>
  <c r="A14" i="10" s="1"/>
  <c r="C14" i="10" s="1"/>
  <c r="A15" i="10" s="1"/>
  <c r="C15" i="10" s="1"/>
  <c r="A16" i="10" s="1"/>
  <c r="C16" i="10" s="1"/>
  <c r="A17" i="10" s="1"/>
  <c r="C17" i="10" s="1"/>
  <c r="A18" i="10" s="1"/>
  <c r="C18" i="10" s="1"/>
  <c r="A19" i="10" s="1"/>
  <c r="C19" i="10" s="1"/>
  <c r="A20" i="10" s="1"/>
  <c r="C20" i="10" s="1"/>
  <c r="A21" i="10" s="1"/>
  <c r="C21" i="10" s="1"/>
  <c r="A22" i="10" s="1"/>
  <c r="C22" i="10" s="1"/>
  <c r="AL23" i="10" l="1" a="1"/>
  <c r="AL23" i="10" s="1"/>
  <c r="AJ23" i="10" a="1"/>
  <c r="AJ23" i="10" s="1"/>
  <c r="AI23" i="10" a="1"/>
  <c r="AI23" i="10" s="1"/>
  <c r="AH23" i="10" a="1"/>
  <c r="AH23" i="10" s="1"/>
  <c r="AM23" i="10" a="1"/>
  <c r="AM23" i="10" s="1"/>
  <c r="AF23" i="10" a="1"/>
  <c r="AF23" i="10" s="1"/>
  <c r="AG23" i="10" a="1"/>
  <c r="AG23" i="10" s="1"/>
  <c r="AK23" i="10" a="1"/>
  <c r="AK23" i="10" s="1"/>
  <c r="K23" i="10" l="1"/>
  <c r="AL24" i="10" a="1"/>
  <c r="AL24" i="10" s="1"/>
  <c r="AF24" i="10" a="1"/>
  <c r="AF24" i="10" s="1"/>
  <c r="AK24" i="10" a="1"/>
  <c r="AK24" i="10" s="1"/>
  <c r="AG24" i="10" a="1"/>
  <c r="AG24" i="10" s="1"/>
  <c r="AJ24" i="10" a="1"/>
  <c r="AJ24" i="10" s="1"/>
  <c r="AH24" i="10" a="1"/>
  <c r="AH24" i="10" s="1"/>
  <c r="AM24" i="10" a="1"/>
  <c r="AM24" i="10" s="1"/>
  <c r="AI24" i="10" a="1"/>
  <c r="AI24" i="10" s="1"/>
  <c r="P3" i="11" a="1"/>
  <c r="P3" i="11" s="1"/>
  <c r="S3" i="11" a="1"/>
  <c r="S3" i="11" s="1"/>
  <c r="Q3" i="11" a="1"/>
  <c r="Q3" i="11" s="1"/>
  <c r="R3" i="11" a="1"/>
  <c r="R3" i="11" s="1"/>
  <c r="L3" i="11" a="1"/>
  <c r="L3" i="11" s="1"/>
  <c r="O3" i="11" a="1"/>
  <c r="O3" i="11" s="1"/>
  <c r="M3" i="11" a="1"/>
  <c r="M3" i="11" s="1"/>
  <c r="N3" i="11" a="1"/>
  <c r="N3" i="11" s="1"/>
  <c r="P4" i="11" a="1"/>
  <c r="P4" i="11" s="1"/>
  <c r="R4" i="11" a="1"/>
  <c r="R4" i="11" s="1"/>
  <c r="O4" i="11" a="1"/>
  <c r="O4" i="11" s="1"/>
  <c r="N4" i="11" a="1"/>
  <c r="N4" i="11" s="1"/>
  <c r="S4" i="11" a="1"/>
  <c r="S4" i="11" s="1"/>
  <c r="Q4" i="11" a="1"/>
  <c r="Q4" i="11" s="1"/>
  <c r="M4" i="11" a="1"/>
  <c r="M4" i="11" s="1"/>
  <c r="L4" i="11" a="1"/>
  <c r="L4" i="11" s="1"/>
  <c r="O11" i="11" a="1"/>
  <c r="O11" i="11" s="1"/>
  <c r="R11" i="11" a="1"/>
  <c r="R11" i="11" s="1"/>
  <c r="S11" i="11" a="1"/>
  <c r="S11" i="11" s="1"/>
  <c r="P11" i="11" a="1"/>
  <c r="P11" i="11" s="1"/>
  <c r="Q11" i="11" a="1"/>
  <c r="Q11" i="11" s="1"/>
  <c r="L11" i="11" a="1"/>
  <c r="L11" i="11" s="1"/>
  <c r="M11" i="11" a="1"/>
  <c r="M11" i="11" s="1"/>
  <c r="N11" i="11" a="1"/>
  <c r="N11" i="11" s="1"/>
  <c r="O5" i="11" a="1"/>
  <c r="O5" i="11" s="1"/>
  <c r="S5" i="11" a="1"/>
  <c r="S5" i="11" s="1"/>
  <c r="P5" i="11" a="1"/>
  <c r="P5" i="11" s="1"/>
  <c r="Q5" i="11" a="1"/>
  <c r="Q5" i="11" s="1"/>
  <c r="R5" i="11" a="1"/>
  <c r="R5" i="11" s="1"/>
  <c r="M5" i="11" a="1"/>
  <c r="M5" i="11" s="1"/>
  <c r="L5" i="11" a="1"/>
  <c r="L5" i="11" s="1"/>
  <c r="N5" i="11" a="1"/>
  <c r="N5" i="11" s="1"/>
  <c r="L2" i="11" a="1"/>
  <c r="L2" i="11" s="1"/>
  <c r="M2" i="11" a="1"/>
  <c r="M2" i="11" s="1"/>
  <c r="P2" i="11" a="1"/>
  <c r="P2" i="11" s="1"/>
  <c r="N2" i="11" a="1"/>
  <c r="N2" i="11" s="1"/>
  <c r="O2" i="11" a="1"/>
  <c r="O2" i="11" s="1"/>
  <c r="Q2" i="11" a="1"/>
  <c r="Q2" i="11" s="1"/>
  <c r="R2" i="11" a="1"/>
  <c r="R2" i="11" s="1"/>
  <c r="S2" i="11" a="1"/>
  <c r="S2" i="11" s="1"/>
  <c r="L8" i="11" a="1"/>
  <c r="L8" i="11" s="1"/>
  <c r="M8" i="11" a="1"/>
  <c r="M8" i="11" s="1"/>
  <c r="N8" i="11" a="1"/>
  <c r="N8" i="11" s="1"/>
  <c r="S8" i="11" a="1"/>
  <c r="S8" i="11" s="1"/>
  <c r="R8" i="11" a="1"/>
  <c r="R8" i="11" s="1"/>
  <c r="Q8" i="11" a="1"/>
  <c r="Q8" i="11" s="1"/>
  <c r="O8" i="11" a="1"/>
  <c r="O8" i="11" s="1"/>
  <c r="P8" i="11" a="1"/>
  <c r="P8" i="11" s="1"/>
  <c r="M12" i="11" a="1"/>
  <c r="M12" i="11" s="1"/>
  <c r="N12" i="11" a="1"/>
  <c r="N12" i="11" s="1"/>
  <c r="R12" i="11" a="1"/>
  <c r="R12" i="11" s="1"/>
  <c r="Q12" i="11" a="1"/>
  <c r="Q12" i="11" s="1"/>
  <c r="L12" i="11" a="1"/>
  <c r="L12" i="11" s="1"/>
  <c r="O12" i="11" a="1"/>
  <c r="O12" i="11" s="1"/>
  <c r="S12" i="11" a="1"/>
  <c r="S12" i="11" s="1"/>
  <c r="P12" i="11" a="1"/>
  <c r="P12" i="11" s="1"/>
  <c r="O10" i="11" a="1"/>
  <c r="O10" i="11" s="1"/>
  <c r="P10" i="11" a="1"/>
  <c r="P10" i="11" s="1"/>
  <c r="S10" i="11" a="1"/>
  <c r="S10" i="11" s="1"/>
  <c r="Q10" i="11" a="1"/>
  <c r="Q10" i="11" s="1"/>
  <c r="R10" i="11" a="1"/>
  <c r="R10" i="11" s="1"/>
  <c r="L10" i="11" a="1"/>
  <c r="L10" i="11" s="1"/>
  <c r="M10" i="11" a="1"/>
  <c r="M10" i="11" s="1"/>
  <c r="N10" i="11" a="1"/>
  <c r="N10" i="11" s="1"/>
  <c r="O13" i="11" a="1"/>
  <c r="O13" i="11" s="1"/>
  <c r="S13" i="11" a="1"/>
  <c r="S13" i="11" s="1"/>
  <c r="P13" i="11" a="1"/>
  <c r="P13" i="11" s="1"/>
  <c r="Q13" i="11" a="1"/>
  <c r="Q13" i="11" s="1"/>
  <c r="R13" i="11" a="1"/>
  <c r="R13" i="11" s="1"/>
  <c r="N13" i="11" a="1"/>
  <c r="N13" i="11" s="1"/>
  <c r="M13" i="11" a="1"/>
  <c r="M13" i="11" s="1"/>
  <c r="L13" i="11" a="1"/>
  <c r="L13" i="11" s="1"/>
  <c r="O6" i="11" a="1"/>
  <c r="O6" i="11" s="1"/>
  <c r="P6" i="11" a="1"/>
  <c r="P6" i="11" s="1"/>
  <c r="Q6" i="11" a="1"/>
  <c r="Q6" i="11" s="1"/>
  <c r="R6" i="11" a="1"/>
  <c r="R6" i="11" s="1"/>
  <c r="S6" i="11" a="1"/>
  <c r="S6" i="11" s="1"/>
  <c r="M6" i="11" a="1"/>
  <c r="M6" i="11" s="1"/>
  <c r="N6" i="11" a="1"/>
  <c r="N6" i="11" s="1"/>
  <c r="L6" i="11" a="1"/>
  <c r="L6" i="11" s="1"/>
  <c r="O7" i="11" a="1"/>
  <c r="O7" i="11" s="1"/>
  <c r="P7" i="11" a="1"/>
  <c r="P7" i="11" s="1"/>
  <c r="S7" i="11" a="1"/>
  <c r="S7" i="11" s="1"/>
  <c r="Q7" i="11" a="1"/>
  <c r="Q7" i="11" s="1"/>
  <c r="R7" i="11" a="1"/>
  <c r="R7" i="11" s="1"/>
  <c r="L7" i="11" a="1"/>
  <c r="L7" i="11" s="1"/>
  <c r="M7" i="11" a="1"/>
  <c r="M7" i="11" s="1"/>
  <c r="N7" i="11" a="1"/>
  <c r="N7" i="11" s="1"/>
  <c r="O9" i="11" a="1"/>
  <c r="O9" i="11" s="1"/>
  <c r="P9" i="11" a="1"/>
  <c r="P9" i="11" s="1"/>
  <c r="S9" i="11" a="1"/>
  <c r="S9" i="11" s="1"/>
  <c r="Q9" i="11" a="1"/>
  <c r="Q9" i="11" s="1"/>
  <c r="R9" i="11" a="1"/>
  <c r="R9" i="11" s="1"/>
  <c r="L9" i="11" a="1"/>
  <c r="L9" i="11" s="1"/>
  <c r="M9" i="11" a="1"/>
  <c r="M9" i="11" s="1"/>
  <c r="N9" i="11" a="1"/>
  <c r="N9" i="11" s="1"/>
  <c r="X11" i="10" l="1" a="1"/>
  <c r="X11" i="10" s="1"/>
  <c r="AF11" i="10" s="1" a="1"/>
  <c r="AF11" i="10" s="1"/>
  <c r="AC11" i="10" a="1"/>
  <c r="AC11" i="10" s="1"/>
  <c r="AK11" i="10" s="1" a="1"/>
  <c r="AK11" i="10" s="1"/>
  <c r="Z11" i="10" a="1"/>
  <c r="Z11" i="10" s="1"/>
  <c r="AH11" i="10" s="1" a="1"/>
  <c r="AH11" i="10" s="1"/>
  <c r="AB11" i="10" a="1"/>
  <c r="AB11" i="10" s="1"/>
  <c r="AJ11" i="10" s="1" a="1"/>
  <c r="AJ11" i="10" s="1"/>
  <c r="Y11" i="10" a="1"/>
  <c r="Y11" i="10" s="1"/>
  <c r="AG11" i="10" s="1" a="1"/>
  <c r="AG11" i="10" s="1"/>
  <c r="AE11" i="10" a="1"/>
  <c r="AE11" i="10" s="1"/>
  <c r="AM11" i="10" s="1" a="1"/>
  <c r="AM11" i="10" s="1"/>
  <c r="AA11" i="10" a="1"/>
  <c r="AA11" i="10" s="1"/>
  <c r="AI11" i="10" s="1" a="1"/>
  <c r="AI11" i="10" s="1"/>
  <c r="AD11" i="10" a="1"/>
  <c r="AD11" i="10" s="1"/>
  <c r="AL11" i="10" s="1" a="1"/>
  <c r="AL11" i="10" s="1"/>
  <c r="AJ25" i="10" a="1"/>
  <c r="AJ25" i="10" s="1"/>
  <c r="AG25" i="10" a="1"/>
  <c r="AG25" i="10" s="1"/>
  <c r="AH25" i="10" a="1"/>
  <c r="AH25" i="10" s="1"/>
  <c r="AK25" i="10" a="1"/>
  <c r="AK25" i="10" s="1"/>
  <c r="AM25" i="10" a="1"/>
  <c r="AM25" i="10" s="1"/>
  <c r="AF25" i="10" a="1"/>
  <c r="AF25" i="10" s="1"/>
  <c r="AI25" i="10" a="1"/>
  <c r="AI25" i="10" s="1"/>
  <c r="AL25" i="10" a="1"/>
  <c r="AL25" i="10" s="1"/>
  <c r="J42" i="10"/>
  <c r="K11" i="10" l="1"/>
  <c r="K25" i="10"/>
  <c r="AL26" i="10" a="1"/>
  <c r="AL26" i="10" s="1"/>
  <c r="AK26" i="10" a="1"/>
  <c r="AK26" i="10" s="1"/>
  <c r="AJ26" i="10" a="1"/>
  <c r="AJ26" i="10" s="1"/>
  <c r="AI26" i="10" a="1"/>
  <c r="AI26" i="10" s="1"/>
  <c r="AH26" i="10" a="1"/>
  <c r="AH26" i="10" s="1"/>
  <c r="AG26" i="10" a="1"/>
  <c r="AG26" i="10" s="1"/>
  <c r="AM26" i="10" a="1"/>
  <c r="AM26" i="10" s="1"/>
  <c r="AF26" i="10" a="1"/>
  <c r="AF26" i="10" s="1"/>
  <c r="AG27" i="10" l="1" a="1"/>
  <c r="AG27" i="10" s="1"/>
  <c r="AF27" i="10" a="1"/>
  <c r="AF27" i="10" s="1"/>
  <c r="AL27" i="10" a="1"/>
  <c r="AL27" i="10" s="1"/>
  <c r="AM27" i="10" a="1"/>
  <c r="AM27" i="10" s="1"/>
  <c r="AJ27" i="10" a="1"/>
  <c r="AJ27" i="10" s="1"/>
  <c r="AK27" i="10" a="1"/>
  <c r="AK27" i="10" s="1"/>
  <c r="AI27" i="10" a="1"/>
  <c r="AI27" i="10" s="1"/>
  <c r="AH27" i="10" a="1"/>
  <c r="AH27" i="10" s="1"/>
  <c r="K27" i="10" l="1"/>
  <c r="AK28" i="10" a="1"/>
  <c r="AK28" i="10" s="1"/>
  <c r="AM28" i="10" a="1"/>
  <c r="AM28" i="10" s="1"/>
  <c r="AL28" i="10" a="1"/>
  <c r="AL28" i="10" s="1"/>
  <c r="AJ28" i="10" a="1"/>
  <c r="AJ28" i="10" s="1"/>
  <c r="AH28" i="10" a="1"/>
  <c r="AH28" i="10" s="1"/>
  <c r="AF28" i="10" a="1"/>
  <c r="AF28" i="10" s="1"/>
  <c r="AI28" i="10" a="1"/>
  <c r="AI28" i="10" s="1"/>
  <c r="AG28" i="10" a="1"/>
  <c r="AG28" i="10" s="1"/>
  <c r="AK29" i="10" l="1" a="1"/>
  <c r="AK29" i="10" s="1"/>
  <c r="AG29" i="10" a="1"/>
  <c r="AG29" i="10" s="1"/>
  <c r="AM29" i="10" a="1"/>
  <c r="AM29" i="10" s="1"/>
  <c r="AH29" i="10" a="1"/>
  <c r="AH29" i="10" s="1"/>
  <c r="AL29" i="10" a="1"/>
  <c r="AL29" i="10" s="1"/>
  <c r="AJ29" i="10" a="1"/>
  <c r="AJ29" i="10" s="1"/>
  <c r="AI29" i="10" a="1"/>
  <c r="AI29" i="10" s="1"/>
  <c r="AF29" i="10" a="1"/>
  <c r="AF29" i="10" s="1"/>
  <c r="K29" i="10" l="1"/>
  <c r="AH30" i="10" a="1"/>
  <c r="AH30" i="10" s="1"/>
  <c r="AG30" i="10" a="1"/>
  <c r="AG30" i="10" s="1"/>
  <c r="AM30" i="10" a="1"/>
  <c r="AM30" i="10" s="1"/>
  <c r="AF30" i="10" a="1"/>
  <c r="AF30" i="10" s="1"/>
  <c r="AL30" i="10" a="1"/>
  <c r="AL30" i="10" s="1"/>
  <c r="AK30" i="10" a="1"/>
  <c r="AK30" i="10" s="1"/>
  <c r="AJ30" i="10" a="1"/>
  <c r="AJ30" i="10" s="1"/>
  <c r="AI30" i="10" a="1"/>
  <c r="AI30" i="10" s="1"/>
  <c r="AG31" i="10" l="1" a="1"/>
  <c r="AG31" i="10" s="1"/>
  <c r="AL31" i="10" a="1"/>
  <c r="AL31" i="10" s="1"/>
  <c r="AK31" i="10" a="1"/>
  <c r="AK31" i="10" s="1"/>
  <c r="AF31" i="10" a="1"/>
  <c r="AF31" i="10" s="1"/>
  <c r="AH31" i="10" a="1"/>
  <c r="AH31" i="10" s="1"/>
  <c r="AM31" i="10" a="1"/>
  <c r="AM31" i="10" s="1"/>
  <c r="AI31" i="10" a="1"/>
  <c r="AI31" i="10" s="1"/>
  <c r="AJ31" i="10" a="1"/>
  <c r="AJ31" i="10" s="1"/>
  <c r="K31" i="10" l="1"/>
  <c r="AJ32" i="10" a="1"/>
  <c r="AJ32" i="10" s="1"/>
  <c r="AM32" i="10" a="1"/>
  <c r="AM32" i="10" s="1"/>
  <c r="AG32" i="10" a="1"/>
  <c r="AG32" i="10" s="1"/>
  <c r="AL32" i="10" a="1"/>
  <c r="AL32" i="10" s="1"/>
  <c r="AF32" i="10" a="1"/>
  <c r="AF32" i="10" s="1"/>
  <c r="AK32" i="10" a="1"/>
  <c r="AK32" i="10" s="1"/>
  <c r="AH32" i="10" a="1"/>
  <c r="AH32" i="10" s="1"/>
  <c r="AI32" i="10" a="1"/>
  <c r="AI32" i="10" s="1"/>
  <c r="AK33" i="10" l="1" a="1"/>
  <c r="AK33" i="10" s="1"/>
  <c r="AH33" i="10" a="1"/>
  <c r="AH33" i="10" s="1"/>
  <c r="AM33" i="10" a="1"/>
  <c r="AM33" i="10" s="1"/>
  <c r="AG33" i="10" a="1"/>
  <c r="AG33" i="10" s="1"/>
  <c r="AL33" i="10" a="1"/>
  <c r="AL33" i="10" s="1"/>
  <c r="AI33" i="10" a="1"/>
  <c r="AI33" i="10" s="1"/>
  <c r="AF33" i="10" a="1"/>
  <c r="AF33" i="10" s="1"/>
  <c r="AJ33" i="10" a="1"/>
  <c r="AJ33" i="10" s="1"/>
  <c r="K33" i="10" l="1"/>
  <c r="AJ34" i="10" a="1"/>
  <c r="AJ34" i="10" s="1"/>
  <c r="AH34" i="10" a="1"/>
  <c r="AH34" i="10" s="1"/>
  <c r="AF34" i="10" a="1"/>
  <c r="AF34" i="10" s="1"/>
  <c r="AK34" i="10" a="1"/>
  <c r="AK34" i="10" s="1"/>
  <c r="AG34" i="10" a="1"/>
  <c r="AG34" i="10" s="1"/>
  <c r="AI34" i="10" a="1"/>
  <c r="AI34" i="10" s="1"/>
  <c r="AM34" i="10" a="1"/>
  <c r="AM34" i="10" s="1"/>
  <c r="AL34" i="10" a="1"/>
  <c r="AL34" i="10" s="1"/>
  <c r="AF35" i="10" l="1" a="1"/>
  <c r="AF35" i="10" s="1"/>
  <c r="AM35" i="10" a="1"/>
  <c r="AM35" i="10" s="1"/>
  <c r="AK35" i="10" a="1"/>
  <c r="AK35" i="10" s="1"/>
  <c r="AL35" i="10" a="1"/>
  <c r="AL35" i="10" s="1"/>
  <c r="AI35" i="10" a="1"/>
  <c r="AI35" i="10" s="1"/>
  <c r="AH35" i="10" a="1"/>
  <c r="AH35" i="10" s="1"/>
  <c r="AG35" i="10" a="1"/>
  <c r="AG35" i="10" s="1"/>
  <c r="AJ35" i="10" a="1"/>
  <c r="AJ35" i="10" s="1"/>
  <c r="K35" i="10" l="1"/>
  <c r="AG36" i="10" a="1"/>
  <c r="AG36" i="10" s="1"/>
  <c r="AL36" i="10" a="1"/>
  <c r="AL36" i="10" s="1"/>
  <c r="AK36" i="10" a="1"/>
  <c r="AK36" i="10" s="1"/>
  <c r="AJ36" i="10" a="1"/>
  <c r="AJ36" i="10" s="1"/>
  <c r="AF36" i="10" a="1"/>
  <c r="AF36" i="10" s="1"/>
  <c r="AH36" i="10" a="1"/>
  <c r="AH36" i="10" s="1"/>
  <c r="AI36" i="10" a="1"/>
  <c r="AI36" i="10" s="1"/>
  <c r="AM36" i="10" a="1"/>
  <c r="AM36" i="10" s="1"/>
  <c r="AH37" i="10" l="1" a="1"/>
  <c r="AH37" i="10" s="1"/>
  <c r="AM37" i="10" a="1"/>
  <c r="AM37" i="10" s="1"/>
  <c r="AG37" i="10" a="1"/>
  <c r="AG37" i="10" s="1"/>
  <c r="AL37" i="10" a="1"/>
  <c r="AL37" i="10" s="1"/>
  <c r="AJ37" i="10" a="1"/>
  <c r="AJ37" i="10" s="1"/>
  <c r="AI37" i="10" a="1"/>
  <c r="AI37" i="10" s="1"/>
  <c r="AF37" i="10" a="1"/>
  <c r="AF37" i="10" s="1"/>
  <c r="AK37" i="10" a="1"/>
  <c r="AK37" i="10" s="1"/>
  <c r="K37" i="10" l="1"/>
  <c r="AF38" i="10" a="1"/>
  <c r="AF38" i="10" s="1"/>
  <c r="AH38" i="10" a="1"/>
  <c r="AH38" i="10" s="1"/>
  <c r="AI38" i="10" a="1"/>
  <c r="AI38" i="10" s="1"/>
  <c r="AM38" i="10" a="1"/>
  <c r="AM38" i="10" s="1"/>
  <c r="AL38" i="10" a="1"/>
  <c r="AL38" i="10" s="1"/>
  <c r="AG38" i="10" a="1"/>
  <c r="AG38" i="10" s="1"/>
  <c r="AJ38" i="10" a="1"/>
  <c r="AJ38" i="10" s="1"/>
  <c r="AK38" i="10" a="1"/>
  <c r="AK38" i="10" s="1"/>
  <c r="AM39" i="10" l="1" a="1"/>
  <c r="AM39" i="10" s="1"/>
  <c r="AG39" i="10" a="1"/>
  <c r="AG39" i="10" s="1"/>
  <c r="AL39" i="10" a="1"/>
  <c r="AL39" i="10" s="1"/>
  <c r="AF39" i="10" a="1"/>
  <c r="AF39" i="10" s="1"/>
  <c r="K39" i="10" s="1"/>
  <c r="AK39" i="10" a="1"/>
  <c r="AK39" i="10" s="1"/>
  <c r="AI39" i="10" a="1"/>
  <c r="AI39" i="10" s="1"/>
  <c r="AJ39" i="10" a="1"/>
  <c r="AJ39" i="10" s="1"/>
  <c r="AH39" i="10" a="1"/>
  <c r="AH39" i="10" s="1"/>
  <c r="AF40" i="10" l="1" a="1"/>
  <c r="AF40" i="10" s="1"/>
  <c r="K40" i="10" s="1"/>
  <c r="K41" i="10" s="1"/>
  <c r="L41" i="10" s="1"/>
  <c r="AK40" i="10" a="1"/>
  <c r="AK40" i="10" s="1"/>
  <c r="AG40" i="10" a="1"/>
  <c r="AG40" i="10" s="1"/>
  <c r="AH40" i="10" a="1"/>
  <c r="AH40" i="10" s="1"/>
  <c r="AL40" i="10" a="1"/>
  <c r="AL40" i="10" s="1"/>
  <c r="AM40" i="10" a="1"/>
  <c r="AM40" i="10" s="1"/>
  <c r="AJ40" i="10" a="1"/>
  <c r="AJ40" i="10" s="1"/>
  <c r="AI40" i="10" a="1"/>
  <c r="AI40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<sst xmlns="http://schemas.openxmlformats.org/spreadsheetml/2006/main" count="291" uniqueCount="105">
  <si>
    <t>バンド名</t>
    <phoneticPr fontId="1"/>
  </si>
  <si>
    <t>からんころん</t>
  </si>
  <si>
    <t>全然いや突然。</t>
  </si>
  <si>
    <t>23ひなの</t>
  </si>
  <si>
    <t>23あさぴん</t>
  </si>
  <si>
    <t>23いろは</t>
  </si>
  <si>
    <t>21もち</t>
  </si>
  <si>
    <t>21よし</t>
  </si>
  <si>
    <t>21まお</t>
  </si>
  <si>
    <t>21ハク</t>
  </si>
  <si>
    <t>22とくさん</t>
  </si>
  <si>
    <t>22はーちん</t>
  </si>
  <si>
    <t>21もろ</t>
  </si>
  <si>
    <t>21もも</t>
  </si>
  <si>
    <t>22なべ</t>
  </si>
  <si>
    <t>22hiroki</t>
  </si>
  <si>
    <t>22ゆうくん</t>
  </si>
  <si>
    <t>21あだ</t>
  </si>
  <si>
    <t>21かこ</t>
  </si>
  <si>
    <t>21けんたろう</t>
  </si>
  <si>
    <t>21しゃんしゃん</t>
  </si>
  <si>
    <t>22いっせい</t>
  </si>
  <si>
    <t>23つかでぃー</t>
  </si>
  <si>
    <t>23みく</t>
  </si>
  <si>
    <t>23イッキ</t>
  </si>
  <si>
    <t>23まみこ</t>
  </si>
  <si>
    <t>21あんころ</t>
  </si>
  <si>
    <t>22あやき</t>
  </si>
  <si>
    <t>22よしもち</t>
  </si>
  <si>
    <t>22くる</t>
  </si>
  <si>
    <t>22mol</t>
  </si>
  <si>
    <t>22rion</t>
  </si>
  <si>
    <t>時間</t>
    <rPh sb="0" eb="2">
      <t xml:space="preserve">ジカン </t>
    </rPh>
    <phoneticPr fontId="1"/>
  </si>
  <si>
    <t>〜</t>
    <phoneticPr fontId="1"/>
  </si>
  <si>
    <t/>
  </si>
  <si>
    <t>事項</t>
    <rPh sb="0" eb="2">
      <t xml:space="preserve">ジコウ </t>
    </rPh>
    <phoneticPr fontId="1"/>
  </si>
  <si>
    <t>メンバー</t>
    <phoneticPr fontId="1"/>
  </si>
  <si>
    <t>累積時間</t>
    <rPh sb="0" eb="4">
      <t xml:space="preserve">ルイセキジカン </t>
    </rPh>
    <phoneticPr fontId="1"/>
  </si>
  <si>
    <t>Higher Girls</t>
  </si>
  <si>
    <t>虹のパレード🌈</t>
  </si>
  <si>
    <t>Chatnoir</t>
  </si>
  <si>
    <t>はれいろ</t>
  </si>
  <si>
    <t>SPIRITS</t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</si>
  <si>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</si>
  <si>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</si>
  <si>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</si>
  <si>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</si>
  <si>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</si>
  <si>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</si>
  <si>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乱数</t>
    <rPh sb="0" eb="2">
      <t xml:space="preserve">ランスウ </t>
    </rPh>
    <phoneticPr fontId="1"/>
  </si>
  <si>
    <t>順位</t>
    <rPh sb="0" eb="2">
      <t xml:space="preserve">ジュンイ </t>
    </rPh>
    <phoneticPr fontId="1"/>
  </si>
  <si>
    <t>順序</t>
    <rPh sb="0" eb="2">
      <t xml:space="preserve">ジュンジョ </t>
    </rPh>
    <phoneticPr fontId="1"/>
  </si>
  <si>
    <t>日程</t>
  </si>
  <si>
    <t>Leopoldy</t>
  </si>
  <si>
    <t>hälytys</t>
  </si>
  <si>
    <t>éLefsi</t>
  </si>
  <si>
    <t>D.a.W.N.</t>
  </si>
  <si>
    <t>うしぺんぎん</t>
  </si>
  <si>
    <t>9:00-10:00</t>
  </si>
  <si>
    <t>10:00-11:00</t>
  </si>
  <si>
    <t>11:00-12:00</t>
  </si>
  <si>
    <t>12:00-13:00</t>
  </si>
  <si>
    <t>13:00-14:00</t>
  </si>
  <si>
    <t>14:00-15:00</t>
  </si>
  <si>
    <t>15:00-16:00</t>
  </si>
  <si>
    <t>17:00-18:00</t>
  </si>
  <si>
    <t>コメント</t>
  </si>
  <si>
    <t>メンバー評価</t>
    <rPh sb="4" eb="6">
      <t xml:space="preserve">ソウゴウヒョウカ </t>
    </rPh>
    <phoneticPr fontId="1"/>
  </si>
  <si>
    <t>時間評価</t>
    <rPh sb="0" eb="2">
      <t xml:space="preserve">ジカン </t>
    </rPh>
    <rPh sb="2" eb="4">
      <t xml:space="preserve">ヒョウカ </t>
    </rPh>
    <phoneticPr fontId="1"/>
  </si>
  <si>
    <t>評価</t>
    <rPh sb="0" eb="2">
      <t xml:space="preserve">ソウゴウヒョウカ </t>
    </rPh>
    <phoneticPr fontId="1"/>
  </si>
  <si>
    <t>二次審査特例</t>
    <rPh sb="0" eb="6">
      <t xml:space="preserve">ニジシンサトクレイ </t>
    </rPh>
    <phoneticPr fontId="1"/>
  </si>
  <si>
    <t>特例</t>
    <rPh sb="0" eb="2">
      <t xml:space="preserve">トクレイ </t>
    </rPh>
    <phoneticPr fontId="1"/>
  </si>
  <si>
    <t>tendresse</t>
  </si>
  <si>
    <t>23ゆっぴー</t>
  </si>
  <si>
    <t>23あすか</t>
  </si>
  <si>
    <t>23馬</t>
  </si>
  <si>
    <t>23しゅんや</t>
  </si>
  <si>
    <t>23ちかぜ</t>
  </si>
  <si>
    <t>23ひめか</t>
  </si>
  <si>
    <t>23とーや</t>
  </si>
  <si>
    <t>Period.</t>
  </si>
  <si>
    <t>popcrop</t>
  </si>
  <si>
    <t>Helem.</t>
  </si>
  <si>
    <t>23🈂️</t>
  </si>
  <si>
    <t>23ラムダ</t>
  </si>
  <si>
    <t>会場設営</t>
  </si>
  <si>
    <t>音響確認バンド1</t>
  </si>
  <si>
    <t>音響確認バンド2</t>
  </si>
  <si>
    <t>音響確認バンド3</t>
  </si>
  <si>
    <t>調整・外部審査員紹介</t>
  </si>
  <si>
    <t>転換</t>
  </si>
  <si>
    <t>休憩</t>
  </si>
  <si>
    <t>マイク一本残し片づけ</t>
  </si>
  <si>
    <t>外部審査員講評</t>
  </si>
  <si>
    <t>撤収</t>
  </si>
  <si>
    <t>試行回数</t>
    <rPh sb="0" eb="4">
      <t xml:space="preserve">シコウカイスウ </t>
    </rPh>
    <phoneticPr fontId="1"/>
  </si>
  <si>
    <t>21ほのちゃん</t>
  </si>
  <si>
    <t>22ぷる</t>
  </si>
  <si>
    <t>22かっくん</t>
  </si>
  <si>
    <t>23えみ</t>
  </si>
  <si>
    <t>(音響確認)あくるひ</t>
    <rPh sb="1" eb="3">
      <t xml:space="preserve">オンキョウ </t>
    </rPh>
    <rPh sb="3" eb="5">
      <t xml:space="preserve">カクニン </t>
    </rPh>
    <phoneticPr fontId="1"/>
  </si>
  <si>
    <t>(音響確認)Bloody Mary</t>
    <phoneticPr fontId="1"/>
  </si>
  <si>
    <t>(音響確認)você</t>
    <phoneticPr fontId="1"/>
  </si>
  <si>
    <t>30/100000</t>
    <phoneticPr fontId="1"/>
  </si>
  <si>
    <t>éLefsi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</si>
</sst>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h:mm;@"/>
    <numFmt numFmtId="178" formatCode="[$-F400]h:mm:ss\ AM/PM"/>
  </numFmts>
  <fonts count="9">
    <font>
      <sz val="12"/>
      <color theme="1"/>
      <name val="MS-Mincho"/>
      <family val="2"/>
      <charset val="128"/>
    </font>
    <font>
      <sz val="6"/>
      <name val="MS-Mincho"/>
      <family val="2"/>
      <charset val="128"/>
    </font>
    <font>
      <sz val="10"/>
      <color theme="1"/>
      <name val="Arial"/>
      <family val="2"/>
    </font>
    <font>
      <sz val="12"/>
      <name val="MS-Mincho"/>
      <family val="2"/>
      <charset val="128"/>
    </font>
    <font>
      <sz val="10"/>
      <name val="MS Gothic"/>
      <family val="2"/>
      <charset val="128"/>
    </font>
    <font>
      <sz val="36"/>
      <color theme="1"/>
      <name val="MS-Mincho"/>
      <family val="2"/>
      <charset val="128"/>
    </font>
    <font>
      <sz val="12"/>
      <color rgb="FF000000"/>
      <name val="MS-Mincho"/>
      <charset val="128"/>
    </font>
    <font>
      <sz val="12"/>
      <color rgb="FF000000"/>
      <name val="Calibri"/>
      <family val="2"/>
    </font>
    <font>
      <sz val="11"/>
      <color theme="1"/>
      <name val="MS-Mincho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horizontal="centerContinuous"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quotePrefix="1" applyFont="1">
      <alignment vertical="center"/>
    </xf>
    <xf numFmtId="178" fontId="8" fillId="0" borderId="0" xfId="0" applyNumberFormat="1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8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7D31"/>
      <color rgb="FF67282E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タイムテーブル!$N$41:$N$71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タイムテーブル!$P$41:$P$71</c:f>
              <c:numCache>
                <c:formatCode>General</c:formatCode>
                <c:ptCount val="31"/>
                <c:pt idx="3">
                  <c:v>1</c:v>
                </c:pt>
                <c:pt idx="4">
                  <c:v>4</c:v>
                </c:pt>
                <c:pt idx="5">
                  <c:v>27</c:v>
                </c:pt>
                <c:pt idx="6">
                  <c:v>68</c:v>
                </c:pt>
                <c:pt idx="7">
                  <c:v>149</c:v>
                </c:pt>
                <c:pt idx="8">
                  <c:v>271</c:v>
                </c:pt>
                <c:pt idx="9">
                  <c:v>428</c:v>
                </c:pt>
                <c:pt idx="10">
                  <c:v>581</c:v>
                </c:pt>
                <c:pt idx="11">
                  <c:v>666</c:v>
                </c:pt>
                <c:pt idx="12">
                  <c:v>684</c:v>
                </c:pt>
                <c:pt idx="13">
                  <c:v>609</c:v>
                </c:pt>
                <c:pt idx="14">
                  <c:v>502</c:v>
                </c:pt>
                <c:pt idx="15">
                  <c:v>414</c:v>
                </c:pt>
                <c:pt idx="16">
                  <c:v>266</c:v>
                </c:pt>
                <c:pt idx="17">
                  <c:v>168</c:v>
                </c:pt>
                <c:pt idx="18">
                  <c:v>69</c:v>
                </c:pt>
                <c:pt idx="19">
                  <c:v>47</c:v>
                </c:pt>
                <c:pt idx="20">
                  <c:v>26</c:v>
                </c:pt>
                <c:pt idx="21">
                  <c:v>15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A-AF4B-8834-C5863655E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8178880"/>
        <c:axId val="105832224"/>
      </c:barChart>
      <c:barChart>
        <c:barDir val="col"/>
        <c:grouping val="clustered"/>
        <c:varyColors val="0"/>
        <c:ser>
          <c:idx val="1"/>
          <c:order val="0"/>
          <c:spPr>
            <a:solidFill>
              <a:srgbClr val="ED7D31">
                <a:alpha val="50196"/>
              </a:srgbClr>
            </a:solidFill>
            <a:ln>
              <a:noFill/>
            </a:ln>
            <a:effectLst/>
          </c:spPr>
          <c:invertIfNegative val="0"/>
          <c:cat>
            <c:numRef>
              <c:f>タイムテーブル!$N$41:$N$71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タイムテーブル!$O$41:$O$71</c:f>
              <c:numCache>
                <c:formatCode>General</c:formatCode>
                <c:ptCount val="31"/>
                <c:pt idx="1">
                  <c:v>2</c:v>
                </c:pt>
                <c:pt idx="2">
                  <c:v>14</c:v>
                </c:pt>
                <c:pt idx="3">
                  <c:v>79</c:v>
                </c:pt>
                <c:pt idx="4">
                  <c:v>374</c:v>
                </c:pt>
                <c:pt idx="5">
                  <c:v>1246</c:v>
                </c:pt>
                <c:pt idx="6">
                  <c:v>3296</c:v>
                </c:pt>
                <c:pt idx="7">
                  <c:v>7300</c:v>
                </c:pt>
                <c:pt idx="8">
                  <c:v>13831</c:v>
                </c:pt>
                <c:pt idx="9">
                  <c:v>22464</c:v>
                </c:pt>
                <c:pt idx="10">
                  <c:v>32137</c:v>
                </c:pt>
                <c:pt idx="11">
                  <c:v>39782</c:v>
                </c:pt>
                <c:pt idx="12">
                  <c:v>43621</c:v>
                </c:pt>
                <c:pt idx="13">
                  <c:v>42488</c:v>
                </c:pt>
                <c:pt idx="14">
                  <c:v>37523</c:v>
                </c:pt>
                <c:pt idx="15">
                  <c:v>29007</c:v>
                </c:pt>
                <c:pt idx="16">
                  <c:v>20321</c:v>
                </c:pt>
                <c:pt idx="17">
                  <c:v>13154</c:v>
                </c:pt>
                <c:pt idx="18">
                  <c:v>7493</c:v>
                </c:pt>
                <c:pt idx="19">
                  <c:v>3999</c:v>
                </c:pt>
                <c:pt idx="20">
                  <c:v>1825</c:v>
                </c:pt>
                <c:pt idx="21">
                  <c:v>796</c:v>
                </c:pt>
                <c:pt idx="22">
                  <c:v>275</c:v>
                </c:pt>
                <c:pt idx="23">
                  <c:v>104</c:v>
                </c:pt>
                <c:pt idx="24">
                  <c:v>29</c:v>
                </c:pt>
                <c:pt idx="25">
                  <c:v>8</c:v>
                </c:pt>
                <c:pt idx="2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19-D34A-AD8D-F36C04E95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5192751"/>
        <c:axId val="1868444431"/>
      </c:barChart>
      <c:catAx>
        <c:axId val="35817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5832224"/>
        <c:crosses val="autoZero"/>
        <c:auto val="1"/>
        <c:lblAlgn val="ctr"/>
        <c:lblOffset val="100"/>
        <c:noMultiLvlLbl val="0"/>
      </c:catAx>
      <c:valAx>
        <c:axId val="1058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8178880"/>
        <c:crosses val="autoZero"/>
        <c:crossBetween val="between"/>
      </c:valAx>
      <c:valAx>
        <c:axId val="186844443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192751"/>
        <c:crosses val="max"/>
        <c:crossBetween val="between"/>
      </c:valAx>
      <c:catAx>
        <c:axId val="751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8444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355600</xdr:colOff>
          <xdr:row>41</xdr:row>
          <xdr:rowOff>101600</xdr:rowOff>
        </xdr:from>
        <xdr:to>
          <xdr:col>4</xdr:col>
          <xdr:colOff>520700</xdr:colOff>
          <xdr:row>43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ea typeface="MS-Mincho" charset="-128"/>
                </a:rPr>
                <a:t>ボタン</a:t>
              </a: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Calibri" charset="0"/>
                  <a:ea typeface="MS-Mincho" charset="-128"/>
                  <a:cs typeface="Calibri" charset="0"/>
                </a:rPr>
                <a:t> 1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Calibri" charset="0"/>
                <a:cs typeface="Calibri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41</xdr:row>
          <xdr:rowOff>139700</xdr:rowOff>
        </xdr:from>
        <xdr:to>
          <xdr:col>6</xdr:col>
          <xdr:colOff>889000</xdr:colOff>
          <xdr:row>43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ea typeface="MS-Mincho" charset="-128"/>
                </a:rPr>
                <a:t>ボタン</a:t>
              </a: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Calibri" charset="0"/>
                  <a:ea typeface="MS-Mincho" charset="-128"/>
                  <a:cs typeface="Calibri" charset="0"/>
                </a:rPr>
                <a:t> 1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Calibri" charset="0"/>
                <a:cs typeface="Calibri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746404</xdr:colOff>
      <xdr:row>48</xdr:row>
      <xdr:rowOff>131455</xdr:rowOff>
    </xdr:from>
    <xdr:to>
      <xdr:col>12</xdr:col>
      <xdr:colOff>526270</xdr:colOff>
      <xdr:row>55</xdr:row>
      <xdr:rowOff>178022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449BB70-AFD4-0094-839A-80D67D797D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8D3B9-50D9-D549-928E-2C0AFBF406FA}">
  <sheetPr codeName="Sheet7"/>
  <dimension ref="A1:S20"/>
  <sheetViews>
    <sheetView workbookViewId="0"/>
  </sheetViews>
  <sheetFormatPr baseColWidth="10" defaultRowHeight="15"/>
  <cols>
    <col min="1" max="1" width="6" bestFit="1" customWidth="1"/>
    <col min="2" max="2" width="14.33203125" bestFit="1" customWidth="1"/>
  </cols>
  <sheetData>
    <row r="1" spans="1:19">
      <c r="A1" t="s">
        <v>50</v>
      </c>
      <c r="B1" s="9" t="s">
        <v>0</v>
      </c>
      <c r="C1" s="8" t="s">
        <v>43</v>
      </c>
      <c r="D1" s="8" t="s">
        <v>44</v>
      </c>
      <c r="E1" s="8" t="s">
        <v>45</v>
      </c>
      <c r="F1" s="8" t="s">
        <v>46</v>
      </c>
      <c r="G1" s="8" t="s">
        <v>47</v>
      </c>
      <c r="H1" s="8" t="s">
        <v>48</v>
      </c>
      <c r="I1" s="8" t="s">
        <v>49</v>
      </c>
      <c r="J1" s="8" t="s">
        <v>51</v>
      </c>
      <c r="K1" s="8" t="s">
        <v>70</v>
      </c>
      <c r="L1">
        <v>0</v>
      </c>
      <c r="M1">
        <v>60</v>
      </c>
      <c r="N1">
        <v>120</v>
      </c>
      <c r="O1">
        <v>180</v>
      </c>
      <c r="P1">
        <v>240</v>
      </c>
      <c r="Q1">
        <v>300</v>
      </c>
      <c r="R1">
        <v>360</v>
      </c>
      <c r="S1">
        <v>420</v>
      </c>
    </row>
    <row r="2" spans="1:19">
      <c r="A2">
        <v>1</v>
      </c>
      <c r="B2" s="10" t="s">
        <v>1</v>
      </c>
      <c r="C2" s="10" t="s">
        <v>6</v>
      </c>
      <c r="D2" s="10" t="s">
        <v>9</v>
      </c>
      <c r="E2" s="10" t="s">
        <v>12</v>
      </c>
      <c r="F2" s="10" t="s">
        <v>13</v>
      </c>
      <c r="G2" s="10" t="s">
        <v>14</v>
      </c>
      <c r="H2" s="10" t="s">
        <v>10</v>
      </c>
      <c r="I2">
        <v>0.49418753385543823</v>
      </c>
      <c r="J2">
        <f>RANK(I2, $I$2:$I$17)</f>
        <v>13</v>
      </c>
      <c r="K2" s="10"/>
      <c r="L2" cm="1">
        <f t="array" ref="L2">INDEX(出演可能時間!$A$1:$J$24, MATCH(バンド!$B2, 出演可能時間!$A$1:$A$20, 0), COLUMN(出演可能時間!B$1))</f>
        <v>0</v>
      </c>
      <c r="M2" cm="1">
        <f t="array" ref="M2">INDEX(出演可能時間!$A$1:$J$24, MATCH(バンド!$B2, 出演可能時間!$A$1:$A$20, 0), COLUMN(出演可能時間!C$1))</f>
        <v>0</v>
      </c>
      <c r="N2" cm="1">
        <f t="array" ref="N2">INDEX(出演可能時間!$A$1:$J$24, MATCH(バンド!$B2, 出演可能時間!$A$1:$A$20, 0), COLUMN(出演可能時間!D$1))</f>
        <v>0</v>
      </c>
      <c r="O2" cm="1">
        <f t="array" ref="O2">INDEX(出演可能時間!$A$1:$J$24, MATCH(バンド!$B2, 出演可能時間!$A$1:$A$20, 0), COLUMN(出演可能時間!E$1))</f>
        <v>0</v>
      </c>
      <c r="P2" cm="1">
        <f t="array" ref="P2">INDEX(出演可能時間!$A$1:$J$24, MATCH(バンド!$B2, 出演可能時間!$A$1:$A$20, 0), COLUMN(出演可能時間!F$1))</f>
        <v>0</v>
      </c>
      <c r="Q2" cm="1">
        <f t="array" ref="Q2">INDEX(出演可能時間!$A$1:$J$24, MATCH(バンド!$B2, 出演可能時間!$A$1:$A$20, 0), COLUMN(出演可能時間!G$1))</f>
        <v>0</v>
      </c>
      <c r="R2" cm="1">
        <f t="array" ref="R2">INDEX(出演可能時間!$A$1:$J$24, MATCH(バンド!$B2, 出演可能時間!$A$1:$A$20, 0), COLUMN(出演可能時間!H$1))</f>
        <v>0</v>
      </c>
      <c r="S2" cm="1">
        <f t="array" ref="S2">INDEX(出演可能時間!$A$1:$J$24, MATCH(バンド!$B2, 出演可能時間!$A$1:$A$20, 0), COLUMN(出演可能時間!I$1))</f>
        <v>0</v>
      </c>
    </row>
    <row r="3" spans="1:19">
      <c r="A3">
        <v>2</v>
      </c>
      <c r="B3" s="10" t="s">
        <v>54</v>
      </c>
      <c r="C3" s="10" t="s">
        <v>9</v>
      </c>
      <c r="D3" s="10" t="s">
        <v>20</v>
      </c>
      <c r="E3" s="10" t="s">
        <v>13</v>
      </c>
      <c r="F3" s="10" t="s">
        <v>7</v>
      </c>
      <c r="G3" s="10" t="s">
        <v>19</v>
      </c>
      <c r="H3" s="10" t="s">
        <v>27</v>
      </c>
      <c r="I3">
        <v>0.5637747049331665</v>
      </c>
      <c r="J3">
        <f t="shared" ref="J3:J17" si="0">RANK(I3, $I$2:$I$17)</f>
        <v>10</v>
      </c>
      <c r="K3" s="10"/>
      <c r="L3" cm="1">
        <f t="array" ref="L3">INDEX(出演可能時間!$A$1:$J$24, MATCH(バンド!$B3, 出演可能時間!$A$1:$A$20, 0), COLUMN(出演可能時間!B$1))</f>
        <v>0</v>
      </c>
      <c r="M3" cm="1">
        <f t="array" ref="M3">INDEX(出演可能時間!$A$1:$J$24, MATCH(バンド!$B3, 出演可能時間!$A$1:$A$20, 0), COLUMN(出演可能時間!C$1))</f>
        <v>0</v>
      </c>
      <c r="N3" cm="1">
        <f t="array" ref="N3">INDEX(出演可能時間!$A$1:$J$24, MATCH(バンド!$B3, 出演可能時間!$A$1:$A$20, 0), COLUMN(出演可能時間!D$1))</f>
        <v>0</v>
      </c>
      <c r="O3" cm="1">
        <f t="array" ref="O3">INDEX(出演可能時間!$A$1:$J$24, MATCH(バンド!$B3, 出演可能時間!$A$1:$A$20, 0), COLUMN(出演可能時間!E$1))</f>
        <v>0</v>
      </c>
      <c r="P3" cm="1">
        <f t="array" ref="P3">INDEX(出演可能時間!$A$1:$J$24, MATCH(バンド!$B3, 出演可能時間!$A$1:$A$20, 0), COLUMN(出演可能時間!F$1))</f>
        <v>0</v>
      </c>
      <c r="Q3" cm="1">
        <f t="array" ref="Q3">INDEX(出演可能時間!$A$1:$J$24, MATCH(バンド!$B3, 出演可能時間!$A$1:$A$20, 0), COLUMN(出演可能時間!G$1))</f>
        <v>0</v>
      </c>
      <c r="R3" cm="1">
        <f t="array" ref="R3">INDEX(出演可能時間!$A$1:$J$24, MATCH(バンド!$B3, 出演可能時間!$A$1:$A$20, 0), COLUMN(出演可能時間!H$1))</f>
        <v>0</v>
      </c>
      <c r="S3" cm="1">
        <f t="array" ref="S3">INDEX(出演可能時間!$A$1:$J$24, MATCH(バンド!$B3, 出演可能時間!$A$1:$A$20, 0), COLUMN(出演可能時間!I$1))</f>
        <v>0</v>
      </c>
    </row>
    <row r="4" spans="1:19">
      <c r="A4">
        <v>3</v>
      </c>
      <c r="B4" s="10" t="s">
        <v>104</v>
      </c>
      <c r="C4" s="10" t="s">
        <v>8</v>
      </c>
      <c r="D4" s="10" t="s">
        <v>19</v>
      </c>
      <c r="E4" s="10" t="s">
        <v>13</v>
      </c>
      <c r="F4" s="10" t="s">
        <v>16</v>
      </c>
      <c r="G4" s="10" t="s">
        <v>4</v>
      </c>
      <c r="H4" s="10" t="s">
        <v>75</v>
      </c>
      <c r="I4">
        <v>0.84016638994216919</v>
      </c>
      <c r="J4">
        <f t="shared" si="0"/>
        <v>3</v>
      </c>
      <c r="K4" s="10"/>
      <c r="L4" cm="1">
        <f t="array" ref="L4">INDEX(出演可能時間!$A$1:$J$24, MATCH(バンド!$B4, 出演可能時間!$A$1:$A$20, 0), COLUMN(出演可能時間!B$1))</f>
        <v>0</v>
      </c>
      <c r="M4" cm="1">
        <f t="array" ref="M4">INDEX(出演可能時間!$A$1:$J$24, MATCH(バンド!$B4, 出演可能時間!$A$1:$A$20, 0), COLUMN(出演可能時間!C$1))</f>
        <v>0</v>
      </c>
      <c r="N4" cm="1">
        <f t="array" ref="N4">INDEX(出演可能時間!$A$1:$J$24, MATCH(バンド!$B4, 出演可能時間!$A$1:$A$20, 0), COLUMN(出演可能時間!D$1))</f>
        <v>0</v>
      </c>
      <c r="O4" cm="1">
        <f t="array" ref="O4">INDEX(出演可能時間!$A$1:$J$24, MATCH(バンド!$B4, 出演可能時間!$A$1:$A$20, 0), COLUMN(出演可能時間!E$1))</f>
        <v>0</v>
      </c>
      <c r="P4" cm="1">
        <f t="array" ref="P4">INDEX(出演可能時間!$A$1:$J$24, MATCH(バンド!$B4, 出演可能時間!$A$1:$A$20, 0), COLUMN(出演可能時間!F$1))</f>
        <v>0</v>
      </c>
      <c r="Q4" cm="1">
        <f t="array" ref="Q4">INDEX(出演可能時間!$A$1:$J$24, MATCH(バンド!$B4, 出演可能時間!$A$1:$A$20, 0), COLUMN(出演可能時間!G$1))</f>
        <v>0</v>
      </c>
      <c r="R4" cm="1">
        <f t="array" ref="R4">INDEX(出演可能時間!$A$1:$J$24, MATCH(バンド!$B4, 出演可能時間!$A$1:$A$20, 0), COLUMN(出演可能時間!H$1))</f>
        <v>0</v>
      </c>
      <c r="S4" cm="1">
        <f t="array" ref="S4">INDEX(出演可能時間!$A$1:$J$24, MATCH(バンド!$B4, 出演可能時間!$A$1:$A$20, 0), COLUMN(出演可能時間!I$1))</f>
        <v>0</v>
      </c>
    </row>
    <row r="5" spans="1:19">
      <c r="A5">
        <v>4</v>
      </c>
      <c r="B5" s="10" t="s">
        <v>53</v>
      </c>
      <c r="C5" s="10" t="s">
        <v>29</v>
      </c>
      <c r="D5" s="10" t="s">
        <v>11</v>
      </c>
      <c r="E5" s="10" t="s">
        <v>21</v>
      </c>
      <c r="F5" s="10" t="s">
        <v>14</v>
      </c>
      <c r="G5" s="10" t="s">
        <v>74</v>
      </c>
      <c r="H5" s="10" t="s">
        <v>24</v>
      </c>
      <c r="I5">
        <v>0.51245617866516113</v>
      </c>
      <c r="J5">
        <f t="shared" si="0"/>
        <v>12</v>
      </c>
      <c r="K5" s="10"/>
      <c r="L5" cm="1">
        <f t="array" ref="L5">INDEX(出演可能時間!$A$1:$J$24, MATCH(バンド!$B5, 出演可能時間!$A$1:$A$20, 0), COLUMN(出演可能時間!B$1))</f>
        <v>1</v>
      </c>
      <c r="M5" cm="1">
        <f t="array" ref="M5">INDEX(出演可能時間!$A$1:$J$24, MATCH(バンド!$B5, 出演可能時間!$A$1:$A$20, 0), COLUMN(出演可能時間!C$1))</f>
        <v>1</v>
      </c>
      <c r="N5" cm="1">
        <f t="array" ref="N5">INDEX(出演可能時間!$A$1:$J$24, MATCH(バンド!$B5, 出演可能時間!$A$1:$A$20, 0), COLUMN(出演可能時間!D$1))</f>
        <v>1</v>
      </c>
      <c r="O5" cm="1">
        <f t="array" ref="O5">INDEX(出演可能時間!$A$1:$J$24, MATCH(バンド!$B5, 出演可能時間!$A$1:$A$20, 0), COLUMN(出演可能時間!E$1))</f>
        <v>0</v>
      </c>
      <c r="P5" cm="1">
        <f t="array" ref="P5">INDEX(出演可能時間!$A$1:$J$24, MATCH(バンド!$B5, 出演可能時間!$A$1:$A$20, 0), COLUMN(出演可能時間!F$1))</f>
        <v>0</v>
      </c>
      <c r="Q5" cm="1">
        <f t="array" ref="Q5">INDEX(出演可能時間!$A$1:$J$24, MATCH(バンド!$B5, 出演可能時間!$A$1:$A$20, 0), COLUMN(出演可能時間!G$1))</f>
        <v>0</v>
      </c>
      <c r="R5" cm="1">
        <f t="array" ref="R5">INDEX(出演可能時間!$A$1:$J$24, MATCH(バンド!$B5, 出演可能時間!$A$1:$A$20, 0), COLUMN(出演可能時間!H$1))</f>
        <v>0</v>
      </c>
      <c r="S5" cm="1">
        <f t="array" ref="S5">INDEX(出演可能時間!$A$1:$J$24, MATCH(バンド!$B5, 出演可能時間!$A$1:$A$20, 0), COLUMN(出演可能時間!I$1))</f>
        <v>0</v>
      </c>
    </row>
    <row r="6" spans="1:19">
      <c r="A6">
        <v>5</v>
      </c>
      <c r="B6" s="10" t="s">
        <v>38</v>
      </c>
      <c r="C6" s="10" t="s">
        <v>9</v>
      </c>
      <c r="D6" s="10" t="s">
        <v>12</v>
      </c>
      <c r="E6" s="10" t="s">
        <v>30</v>
      </c>
      <c r="F6" s="10" t="s">
        <v>11</v>
      </c>
      <c r="G6" s="10" t="s">
        <v>73</v>
      </c>
      <c r="H6" s="10" t="s">
        <v>74</v>
      </c>
      <c r="I6">
        <v>0.7448543906211853</v>
      </c>
      <c r="J6">
        <f t="shared" si="0"/>
        <v>6</v>
      </c>
      <c r="K6" s="10"/>
      <c r="L6" cm="1">
        <f t="array" ref="L6">INDEX(出演可能時間!$A$1:$J$24, MATCH(バンド!$B6, 出演可能時間!$A$1:$A$20, 0), COLUMN(出演可能時間!B$1))</f>
        <v>1</v>
      </c>
      <c r="M6" cm="1">
        <f t="array" ref="M6">INDEX(出演可能時間!$A$1:$J$24, MATCH(バンド!$B6, 出演可能時間!$A$1:$A$20, 0), COLUMN(出演可能時間!C$1))</f>
        <v>1</v>
      </c>
      <c r="N6" cm="1">
        <f t="array" ref="N6">INDEX(出演可能時間!$A$1:$J$24, MATCH(バンド!$B6, 出演可能時間!$A$1:$A$20, 0), COLUMN(出演可能時間!D$1))</f>
        <v>1</v>
      </c>
      <c r="O6" cm="1">
        <f t="array" ref="O6">INDEX(出演可能時間!$A$1:$J$24, MATCH(バンド!$B6, 出演可能時間!$A$1:$A$20, 0), COLUMN(出演可能時間!E$1))</f>
        <v>0</v>
      </c>
      <c r="P6" cm="1">
        <f t="array" ref="P6">INDEX(出演可能時間!$A$1:$J$24, MATCH(バンド!$B6, 出演可能時間!$A$1:$A$20, 0), COLUMN(出演可能時間!F$1))</f>
        <v>0</v>
      </c>
      <c r="Q6" cm="1">
        <f t="array" ref="Q6">INDEX(出演可能時間!$A$1:$J$24, MATCH(バンド!$B6, 出演可能時間!$A$1:$A$20, 0), COLUMN(出演可能時間!G$1))</f>
        <v>0</v>
      </c>
      <c r="R6" cm="1">
        <f t="array" ref="R6">INDEX(出演可能時間!$A$1:$J$24, MATCH(バンド!$B6, 出演可能時間!$A$1:$A$20, 0), COLUMN(出演可能時間!H$1))</f>
        <v>0</v>
      </c>
      <c r="S6" cm="1">
        <f t="array" ref="S6">INDEX(出演可能時間!$A$1:$J$24, MATCH(バンド!$B6, 出演可能時間!$A$1:$A$20, 0), COLUMN(出演可能時間!I$1))</f>
        <v>0</v>
      </c>
    </row>
    <row r="7" spans="1:19">
      <c r="A7">
        <v>6</v>
      </c>
      <c r="B7" s="10" t="s">
        <v>56</v>
      </c>
      <c r="C7" s="10" t="s">
        <v>12</v>
      </c>
      <c r="D7" s="10" t="s">
        <v>30</v>
      </c>
      <c r="E7" s="10" t="s">
        <v>76</v>
      </c>
      <c r="F7" s="10" t="s">
        <v>22</v>
      </c>
      <c r="G7" s="10" t="s">
        <v>77</v>
      </c>
      <c r="H7" s="10" t="s">
        <v>83</v>
      </c>
      <c r="I7">
        <v>0.55371749401092529</v>
      </c>
      <c r="J7">
        <f t="shared" si="0"/>
        <v>11</v>
      </c>
      <c r="K7" s="10"/>
      <c r="L7" cm="1">
        <f t="array" ref="L7">INDEX(出演可能時間!$A$1:$J$24, MATCH(バンド!$B7, 出演可能時間!$A$1:$A$20, 0), COLUMN(出演可能時間!B$1))</f>
        <v>0</v>
      </c>
      <c r="M7" cm="1">
        <f t="array" ref="M7">INDEX(出演可能時間!$A$1:$J$24, MATCH(バンド!$B7, 出演可能時間!$A$1:$A$20, 0), COLUMN(出演可能時間!C$1))</f>
        <v>0</v>
      </c>
      <c r="N7" cm="1">
        <f t="array" ref="N7">INDEX(出演可能時間!$A$1:$J$24, MATCH(バンド!$B7, 出演可能時間!$A$1:$A$20, 0), COLUMN(出演可能時間!D$1))</f>
        <v>0</v>
      </c>
      <c r="O7" cm="1">
        <f t="array" ref="O7">INDEX(出演可能時間!$A$1:$J$24, MATCH(バンド!$B7, 出演可能時間!$A$1:$A$20, 0), COLUMN(出演可能時間!E$1))</f>
        <v>0</v>
      </c>
      <c r="P7" cm="1">
        <f t="array" ref="P7">INDEX(出演可能時間!$A$1:$J$24, MATCH(バンド!$B7, 出演可能時間!$A$1:$A$20, 0), COLUMN(出演可能時間!F$1))</f>
        <v>0</v>
      </c>
      <c r="Q7" cm="1">
        <f t="array" ref="Q7">INDEX(出演可能時間!$A$1:$J$24, MATCH(バンド!$B7, 出演可能時間!$A$1:$A$20, 0), COLUMN(出演可能時間!G$1))</f>
        <v>0</v>
      </c>
      <c r="R7" cm="1">
        <f t="array" ref="R7">INDEX(出演可能時間!$A$1:$J$24, MATCH(バンド!$B7, 出演可能時間!$A$1:$A$20, 0), COLUMN(出演可能時間!H$1))</f>
        <v>0</v>
      </c>
      <c r="S7" cm="1">
        <f t="array" ref="S7">INDEX(出演可能時間!$A$1:$J$24, MATCH(バンド!$B7, 出演可能時間!$A$1:$A$20, 0), COLUMN(出演可能時間!I$1))</f>
        <v>0</v>
      </c>
    </row>
    <row r="8" spans="1:19">
      <c r="A8">
        <v>7</v>
      </c>
      <c r="B8" s="10" t="s">
        <v>72</v>
      </c>
      <c r="C8" s="10" t="s">
        <v>14</v>
      </c>
      <c r="D8" s="10" t="s">
        <v>31</v>
      </c>
      <c r="E8" s="10" t="s">
        <v>3</v>
      </c>
      <c r="F8" s="10" t="s">
        <v>4</v>
      </c>
      <c r="G8" s="10" t="s">
        <v>25</v>
      </c>
      <c r="H8" s="10" t="s">
        <v>83</v>
      </c>
      <c r="I8">
        <v>0.36341053247451782</v>
      </c>
      <c r="J8">
        <f t="shared" si="0"/>
        <v>15</v>
      </c>
      <c r="K8" s="10"/>
      <c r="L8" cm="1">
        <f t="array" ref="L8">INDEX(出演可能時間!$A$1:$J$24, MATCH(バンド!$B8, 出演可能時間!$A$1:$A$20, 0), COLUMN(出演可能時間!B$1))</f>
        <v>0</v>
      </c>
      <c r="M8" cm="1">
        <f t="array" ref="M8">INDEX(出演可能時間!$A$1:$J$24, MATCH(バンド!$B8, 出演可能時間!$A$1:$A$20, 0), COLUMN(出演可能時間!C$1))</f>
        <v>0</v>
      </c>
      <c r="N8" cm="1">
        <f t="array" ref="N8">INDEX(出演可能時間!$A$1:$J$24, MATCH(バンド!$B8, 出演可能時間!$A$1:$A$20, 0), COLUMN(出演可能時間!D$1))</f>
        <v>0</v>
      </c>
      <c r="O8" cm="1">
        <f t="array" ref="O8">INDEX(出演可能時間!$A$1:$J$24, MATCH(バンド!$B8, 出演可能時間!$A$1:$A$20, 0), COLUMN(出演可能時間!E$1))</f>
        <v>0</v>
      </c>
      <c r="P8" cm="1">
        <f t="array" ref="P8">INDEX(出演可能時間!$A$1:$J$24, MATCH(バンド!$B8, 出演可能時間!$A$1:$A$20, 0), COLUMN(出演可能時間!F$1))</f>
        <v>0</v>
      </c>
      <c r="Q8" cm="1">
        <f t="array" ref="Q8">INDEX(出演可能時間!$A$1:$J$24, MATCH(バンド!$B8, 出演可能時間!$A$1:$A$20, 0), COLUMN(出演可能時間!G$1))</f>
        <v>0</v>
      </c>
      <c r="R8" cm="1">
        <f t="array" ref="R8">INDEX(出演可能時間!$A$1:$J$24, MATCH(バンド!$B8, 出演可能時間!$A$1:$A$20, 0), COLUMN(出演可能時間!H$1))</f>
        <v>0</v>
      </c>
      <c r="S8" cm="1">
        <f t="array" ref="S8">INDEX(出演可能時間!$A$1:$J$24, MATCH(バンド!$B8, 出演可能時間!$A$1:$A$20, 0), COLUMN(出演可能時間!I$1))</f>
        <v>0</v>
      </c>
    </row>
    <row r="9" spans="1:19">
      <c r="A9">
        <v>8</v>
      </c>
      <c r="B9" s="10" t="s">
        <v>57</v>
      </c>
      <c r="C9" s="10" t="s">
        <v>76</v>
      </c>
      <c r="D9" s="10" t="s">
        <v>3</v>
      </c>
      <c r="E9" s="10" t="s">
        <v>5</v>
      </c>
      <c r="F9" s="10" t="s">
        <v>75</v>
      </c>
      <c r="G9" s="10" t="s">
        <v>22</v>
      </c>
      <c r="H9" s="10" t="s">
        <v>78</v>
      </c>
      <c r="I9">
        <v>0.79338598251342773</v>
      </c>
      <c r="J9">
        <f t="shared" si="0"/>
        <v>4</v>
      </c>
      <c r="K9" s="10"/>
      <c r="L9" cm="1">
        <f t="array" ref="L9">INDEX(出演可能時間!$A$1:$J$24, MATCH(バンド!$B9, 出演可能時間!$A$1:$A$20, 0), COLUMN(出演可能時間!B$1))</f>
        <v>0</v>
      </c>
      <c r="M9" cm="1">
        <f t="array" ref="M9">INDEX(出演可能時間!$A$1:$J$24, MATCH(バンド!$B9, 出演可能時間!$A$1:$A$20, 0), COLUMN(出演可能時間!C$1))</f>
        <v>0</v>
      </c>
      <c r="N9" cm="1">
        <f t="array" ref="N9">INDEX(出演可能時間!$A$1:$J$24, MATCH(バンド!$B9, 出演可能時間!$A$1:$A$20, 0), COLUMN(出演可能時間!D$1))</f>
        <v>0</v>
      </c>
      <c r="O9" cm="1">
        <f t="array" ref="O9">INDEX(出演可能時間!$A$1:$J$24, MATCH(バンド!$B9, 出演可能時間!$A$1:$A$20, 0), COLUMN(出演可能時間!E$1))</f>
        <v>0</v>
      </c>
      <c r="P9" cm="1">
        <f t="array" ref="P9">INDEX(出演可能時間!$A$1:$J$24, MATCH(バンド!$B9, 出演可能時間!$A$1:$A$20, 0), COLUMN(出演可能時間!F$1))</f>
        <v>0</v>
      </c>
      <c r="Q9" cm="1">
        <f t="array" ref="Q9">INDEX(出演可能時間!$A$1:$J$24, MATCH(バンド!$B9, 出演可能時間!$A$1:$A$20, 0), COLUMN(出演可能時間!G$1))</f>
        <v>0</v>
      </c>
      <c r="R9" cm="1">
        <f t="array" ref="R9">INDEX(出演可能時間!$A$1:$J$24, MATCH(バンド!$B9, 出演可能時間!$A$1:$A$20, 0), COLUMN(出演可能時間!H$1))</f>
        <v>0</v>
      </c>
      <c r="S9" cm="1">
        <f t="array" ref="S9">INDEX(出演可能時間!$A$1:$J$24, MATCH(バンド!$B9, 出演可能時間!$A$1:$A$20, 0), COLUMN(出演可能時間!I$1))</f>
        <v>0</v>
      </c>
    </row>
    <row r="10" spans="1:19">
      <c r="A10">
        <v>9</v>
      </c>
      <c r="B10" s="10" t="s">
        <v>2</v>
      </c>
      <c r="C10" s="10" t="s">
        <v>18</v>
      </c>
      <c r="D10" s="10" t="s">
        <v>8</v>
      </c>
      <c r="E10" s="10" t="s">
        <v>6</v>
      </c>
      <c r="F10" s="10" t="s">
        <v>19</v>
      </c>
      <c r="G10" s="10" t="s">
        <v>17</v>
      </c>
      <c r="H10" s="10" t="s">
        <v>15</v>
      </c>
      <c r="I10">
        <v>0.880290687084198</v>
      </c>
      <c r="J10">
        <f t="shared" si="0"/>
        <v>2</v>
      </c>
      <c r="K10" s="10"/>
      <c r="L10" cm="1">
        <f t="array" ref="L10">INDEX(出演可能時間!$A$1:$J$24, MATCH(バンド!$B10, 出演可能時間!$A$1:$A$20, 0), COLUMN(出演可能時間!B$1))</f>
        <v>0</v>
      </c>
      <c r="M10" cm="1">
        <f t="array" ref="M10">INDEX(出演可能時間!$A$1:$J$24, MATCH(バンド!$B10, 出演可能時間!$A$1:$A$20, 0), COLUMN(出演可能時間!C$1))</f>
        <v>0</v>
      </c>
      <c r="N10" cm="1">
        <f t="array" ref="N10">INDEX(出演可能時間!$A$1:$J$24, MATCH(バンド!$B10, 出演可能時間!$A$1:$A$20, 0), COLUMN(出演可能時間!D$1))</f>
        <v>0</v>
      </c>
      <c r="O10" cm="1">
        <f t="array" ref="O10">INDEX(出演可能時間!$A$1:$J$24, MATCH(バンド!$B10, 出演可能時間!$A$1:$A$20, 0), COLUMN(出演可能時間!E$1))</f>
        <v>0</v>
      </c>
      <c r="P10" cm="1">
        <f t="array" ref="P10">INDEX(出演可能時間!$A$1:$J$24, MATCH(バンド!$B10, 出演可能時間!$A$1:$A$20, 0), COLUMN(出演可能時間!F$1))</f>
        <v>0</v>
      </c>
      <c r="Q10" cm="1">
        <f t="array" ref="Q10">INDEX(出演可能時間!$A$1:$J$24, MATCH(バンド!$B10, 出演可能時間!$A$1:$A$20, 0), COLUMN(出演可能時間!G$1))</f>
        <v>0</v>
      </c>
      <c r="R10" cm="1">
        <f t="array" ref="R10">INDEX(出演可能時間!$A$1:$J$24, MATCH(バンド!$B10, 出演可能時間!$A$1:$A$20, 0), COLUMN(出演可能時間!H$1))</f>
        <v>0</v>
      </c>
      <c r="S10" cm="1">
        <f t="array" ref="S10">INDEX(出演可能時間!$A$1:$J$24, MATCH(バンド!$B10, 出演可能時間!$A$1:$A$20, 0), COLUMN(出演可能時間!I$1))</f>
        <v>0</v>
      </c>
    </row>
    <row r="11" spans="1:19">
      <c r="A11">
        <v>10</v>
      </c>
      <c r="B11" s="10" t="s">
        <v>41</v>
      </c>
      <c r="C11" s="10" t="s">
        <v>3</v>
      </c>
      <c r="D11" s="10" t="s">
        <v>23</v>
      </c>
      <c r="E11" s="10" t="s">
        <v>4</v>
      </c>
      <c r="F11" s="10" t="s">
        <v>79</v>
      </c>
      <c r="G11" s="10" t="s">
        <v>84</v>
      </c>
      <c r="H11" s="10" t="s">
        <v>24</v>
      </c>
      <c r="I11">
        <v>0.61957657337188721</v>
      </c>
      <c r="J11">
        <f t="shared" si="0"/>
        <v>9</v>
      </c>
      <c r="K11" s="10"/>
      <c r="L11" cm="1">
        <f t="array" ref="L11">INDEX(出演可能時間!$A$1:$J$24, MATCH(バンド!$B11, 出演可能時間!$A$1:$A$20, 0), COLUMN(出演可能時間!B$1))</f>
        <v>0</v>
      </c>
      <c r="M11" cm="1">
        <f t="array" ref="M11">INDEX(出演可能時間!$A$1:$J$24, MATCH(バンド!$B11, 出演可能時間!$A$1:$A$20, 0), COLUMN(出演可能時間!C$1))</f>
        <v>0</v>
      </c>
      <c r="N11" cm="1">
        <f t="array" ref="N11">INDEX(出演可能時間!$A$1:$J$24, MATCH(バンド!$B11, 出演可能時間!$A$1:$A$20, 0), COLUMN(出演可能時間!D$1))</f>
        <v>0</v>
      </c>
      <c r="O11" cm="1">
        <f t="array" ref="O11">INDEX(出演可能時間!$A$1:$J$24, MATCH(バンド!$B11, 出演可能時間!$A$1:$A$20, 0), COLUMN(出演可能時間!E$1))</f>
        <v>0</v>
      </c>
      <c r="P11" cm="1">
        <f t="array" ref="P11">INDEX(出演可能時間!$A$1:$J$24, MATCH(バンド!$B11, 出演可能時間!$A$1:$A$20, 0), COLUMN(出演可能時間!F$1))</f>
        <v>0</v>
      </c>
      <c r="Q11" cm="1">
        <f t="array" ref="Q11">INDEX(出演可能時間!$A$1:$J$24, MATCH(バンド!$B11, 出演可能時間!$A$1:$A$20, 0), COLUMN(出演可能時間!G$1))</f>
        <v>0</v>
      </c>
      <c r="R11" cm="1">
        <f t="array" ref="R11">INDEX(出演可能時間!$A$1:$J$24, MATCH(バンド!$B11, 出演可能時間!$A$1:$A$20, 0), COLUMN(出演可能時間!H$1))</f>
        <v>0</v>
      </c>
      <c r="S11" cm="1">
        <f t="array" ref="S11">INDEX(出演可能時間!$A$1:$J$24, MATCH(バンド!$B11, 出演可能時間!$A$1:$A$20, 0), COLUMN(出演可能時間!I$1))</f>
        <v>0</v>
      </c>
    </row>
    <row r="12" spans="1:19">
      <c r="A12">
        <v>11</v>
      </c>
      <c r="B12" s="10" t="s">
        <v>39</v>
      </c>
      <c r="C12" s="10" t="s">
        <v>6</v>
      </c>
      <c r="D12" s="10" t="s">
        <v>7</v>
      </c>
      <c r="E12" s="10" t="s">
        <v>30</v>
      </c>
      <c r="F12" s="10" t="s">
        <v>28</v>
      </c>
      <c r="G12" s="10" t="s">
        <v>10</v>
      </c>
      <c r="H12" s="10" t="s">
        <v>15</v>
      </c>
      <c r="I12">
        <v>0.90025407075881958</v>
      </c>
      <c r="J12">
        <f t="shared" si="0"/>
        <v>1</v>
      </c>
      <c r="K12" s="10"/>
      <c r="L12" cm="1">
        <f t="array" ref="L12">INDEX(出演可能時間!$A$1:$J$24, MATCH(バンド!$B12, 出演可能時間!$A$1:$A$20, 0), COLUMN(出演可能時間!B$1))</f>
        <v>0</v>
      </c>
      <c r="M12" cm="1">
        <f t="array" ref="M12">INDEX(出演可能時間!$A$1:$J$24, MATCH(バンド!$B12, 出演可能時間!$A$1:$A$20, 0), COLUMN(出演可能時間!C$1))</f>
        <v>0</v>
      </c>
      <c r="N12" cm="1">
        <f t="array" ref="N12">INDEX(出演可能時間!$A$1:$J$24, MATCH(バンド!$B12, 出演可能時間!$A$1:$A$20, 0), COLUMN(出演可能時間!D$1))</f>
        <v>0</v>
      </c>
      <c r="O12" cm="1">
        <f t="array" ref="O12">INDEX(出演可能時間!$A$1:$J$24, MATCH(バンド!$B12, 出演可能時間!$A$1:$A$20, 0), COLUMN(出演可能時間!E$1))</f>
        <v>0</v>
      </c>
      <c r="P12" cm="1">
        <f t="array" ref="P12">INDEX(出演可能時間!$A$1:$J$24, MATCH(バンド!$B12, 出演可能時間!$A$1:$A$20, 0), COLUMN(出演可能時間!F$1))</f>
        <v>0</v>
      </c>
      <c r="Q12" cm="1">
        <f t="array" ref="Q12">INDEX(出演可能時間!$A$1:$J$24, MATCH(バンド!$B12, 出演可能時間!$A$1:$A$20, 0), COLUMN(出演可能時間!G$1))</f>
        <v>0</v>
      </c>
      <c r="R12" cm="1">
        <f t="array" ref="R12">INDEX(出演可能時間!$A$1:$J$24, MATCH(バンド!$B12, 出演可能時間!$A$1:$A$20, 0), COLUMN(出演可能時間!H$1))</f>
        <v>0</v>
      </c>
      <c r="S12" cm="1">
        <f t="array" ref="S12">INDEX(出演可能時間!$A$1:$J$24, MATCH(バンド!$B12, 出演可能時間!$A$1:$A$20, 0), COLUMN(出演可能時間!I$1))</f>
        <v>0</v>
      </c>
    </row>
    <row r="13" spans="1:19">
      <c r="A13">
        <v>12</v>
      </c>
      <c r="B13" s="10" t="s">
        <v>80</v>
      </c>
      <c r="C13" s="10" t="s">
        <v>18</v>
      </c>
      <c r="D13" s="10" t="s">
        <v>28</v>
      </c>
      <c r="E13" s="10" t="s">
        <v>22</v>
      </c>
      <c r="F13" s="10" t="s">
        <v>23</v>
      </c>
      <c r="G13" s="10" t="s">
        <v>34</v>
      </c>
      <c r="H13" s="10" t="s">
        <v>34</v>
      </c>
      <c r="I13">
        <v>5.5291891098022461E-2</v>
      </c>
      <c r="J13">
        <f t="shared" si="0"/>
        <v>16</v>
      </c>
      <c r="K13" s="10"/>
      <c r="L13" cm="1">
        <f t="array" ref="L13">INDEX(出演可能時間!$A$1:$J$24, MATCH(バンド!$B13, 出演可能時間!$A$1:$A$20, 0), COLUMN(出演可能時間!B$1))</f>
        <v>0</v>
      </c>
      <c r="M13" cm="1">
        <f t="array" ref="M13">INDEX(出演可能時間!$A$1:$J$24, MATCH(バンド!$B13, 出演可能時間!$A$1:$A$20, 0), COLUMN(出演可能時間!C$1))</f>
        <v>0</v>
      </c>
      <c r="N13" cm="1">
        <f t="array" ref="N13">INDEX(出演可能時間!$A$1:$J$24, MATCH(バンド!$B13, 出演可能時間!$A$1:$A$20, 0), COLUMN(出演可能時間!D$1))</f>
        <v>0</v>
      </c>
      <c r="O13" cm="1">
        <f t="array" ref="O13">INDEX(出演可能時間!$A$1:$J$24, MATCH(バンド!$B13, 出演可能時間!$A$1:$A$20, 0), COLUMN(出演可能時間!E$1))</f>
        <v>0</v>
      </c>
      <c r="P13" cm="1">
        <f t="array" ref="P13">INDEX(出演可能時間!$A$1:$J$24, MATCH(バンド!$B13, 出演可能時間!$A$1:$A$20, 0), COLUMN(出演可能時間!F$1))</f>
        <v>0</v>
      </c>
      <c r="Q13" cm="1">
        <f t="array" ref="Q13">INDEX(出演可能時間!$A$1:$J$24, MATCH(バンド!$B13, 出演可能時間!$A$1:$A$20, 0), COLUMN(出演可能時間!G$1))</f>
        <v>0</v>
      </c>
      <c r="R13" cm="1">
        <f t="array" ref="R13">INDEX(出演可能時間!$A$1:$J$24, MATCH(バンド!$B13, 出演可能時間!$A$1:$A$20, 0), COLUMN(出演可能時間!H$1))</f>
        <v>0</v>
      </c>
      <c r="S13" cm="1">
        <f t="array" ref="S13">INDEX(出演可能時間!$A$1:$J$24, MATCH(バンド!$B13, 出演可能時間!$A$1:$A$20, 0), COLUMN(出演可能時間!I$1))</f>
        <v>0</v>
      </c>
    </row>
    <row r="14" spans="1:19">
      <c r="A14">
        <v>13</v>
      </c>
      <c r="B14" s="7" t="s">
        <v>81</v>
      </c>
      <c r="C14" s="7" t="s">
        <v>20</v>
      </c>
      <c r="D14" s="7" t="s">
        <v>21</v>
      </c>
      <c r="E14" s="7" t="s">
        <v>31</v>
      </c>
      <c r="F14" s="7" t="s">
        <v>22</v>
      </c>
      <c r="G14" s="7" t="s">
        <v>77</v>
      </c>
      <c r="H14" s="7" t="s">
        <v>23</v>
      </c>
      <c r="I14">
        <v>0.46790498495101929</v>
      </c>
      <c r="J14">
        <f t="shared" si="0"/>
        <v>14</v>
      </c>
      <c r="K14" s="10"/>
      <c r="L14" cm="1">
        <f t="array" ref="L14">INDEX(出演可能時間!$A$1:$J$24, MATCH(バンド!$B14, 出演可能時間!$A$1:$A$20, 0), COLUMN(出演可能時間!B$1))</f>
        <v>0</v>
      </c>
      <c r="M14" cm="1">
        <f t="array" ref="M14">INDEX(出演可能時間!$A$1:$J$24, MATCH(バンド!$B14, 出演可能時間!$A$1:$A$20, 0), COLUMN(出演可能時間!C$1))</f>
        <v>0</v>
      </c>
      <c r="N14" cm="1">
        <f t="array" ref="N14">INDEX(出演可能時間!$A$1:$J$24, MATCH(バンド!$B14, 出演可能時間!$A$1:$A$20, 0), COLUMN(出演可能時間!D$1))</f>
        <v>0</v>
      </c>
      <c r="O14" cm="1">
        <f t="array" ref="O14">INDEX(出演可能時間!$A$1:$J$24, MATCH(バンド!$B14, 出演可能時間!$A$1:$A$20, 0), COLUMN(出演可能時間!E$1))</f>
        <v>0</v>
      </c>
      <c r="P14" cm="1">
        <f t="array" ref="P14">INDEX(出演可能時間!$A$1:$J$24, MATCH(バンド!$B14, 出演可能時間!$A$1:$A$20, 0), COLUMN(出演可能時間!F$1))</f>
        <v>0</v>
      </c>
      <c r="Q14" cm="1">
        <f t="array" ref="Q14">INDEX(出演可能時間!$A$1:$J$24, MATCH(バンド!$B14, 出演可能時間!$A$1:$A$20, 0), COLUMN(出演可能時間!G$1))</f>
        <v>0</v>
      </c>
      <c r="R14" cm="1">
        <f t="array" ref="R14">INDEX(出演可能時間!$A$1:$J$24, MATCH(バンド!$B14, 出演可能時間!$A$1:$A$20, 0), COLUMN(出演可能時間!H$1))</f>
        <v>0</v>
      </c>
      <c r="S14" cm="1">
        <f t="array" ref="S14">INDEX(出演可能時間!$A$1:$J$24, MATCH(バンド!$B14, 出演可能時間!$A$1:$A$20, 0), COLUMN(出演可能時間!I$1))</f>
        <v>0</v>
      </c>
    </row>
    <row r="15" spans="1:19">
      <c r="A15">
        <v>14</v>
      </c>
      <c r="B15" t="s">
        <v>42</v>
      </c>
      <c r="C15" s="7" t="s">
        <v>12</v>
      </c>
      <c r="D15" s="7" t="s">
        <v>19</v>
      </c>
      <c r="E15" s="7" t="s">
        <v>9</v>
      </c>
      <c r="F15" s="7" t="s">
        <v>15</v>
      </c>
      <c r="G15" s="7" t="s">
        <v>27</v>
      </c>
      <c r="H15" s="7" t="s">
        <v>31</v>
      </c>
      <c r="I15">
        <v>0.63217008113861084</v>
      </c>
      <c r="J15">
        <f t="shared" si="0"/>
        <v>8</v>
      </c>
      <c r="K15" s="10"/>
      <c r="L15" cm="1">
        <f t="array" ref="L15">INDEX(出演可能時間!$A$1:$J$24, MATCH(バンド!$B15, 出演可能時間!$A$1:$A$20, 0), COLUMN(出演可能時間!B$1))</f>
        <v>0</v>
      </c>
      <c r="M15" cm="1">
        <f t="array" ref="M15">INDEX(出演可能時間!$A$1:$J$24, MATCH(バンド!$B15, 出演可能時間!$A$1:$A$20, 0), COLUMN(出演可能時間!C$1))</f>
        <v>0</v>
      </c>
      <c r="N15" cm="1">
        <f t="array" ref="N15">INDEX(出演可能時間!$A$1:$J$24, MATCH(バンド!$B15, 出演可能時間!$A$1:$A$20, 0), COLUMN(出演可能時間!D$1))</f>
        <v>0</v>
      </c>
      <c r="O15" cm="1">
        <f t="array" ref="O15">INDEX(出演可能時間!$A$1:$J$24, MATCH(バンド!$B15, 出演可能時間!$A$1:$A$20, 0), COLUMN(出演可能時間!E$1))</f>
        <v>0</v>
      </c>
      <c r="P15" cm="1">
        <f t="array" ref="P15">INDEX(出演可能時間!$A$1:$J$24, MATCH(バンド!$B15, 出演可能時間!$A$1:$A$20, 0), COLUMN(出演可能時間!F$1))</f>
        <v>0</v>
      </c>
      <c r="Q15" cm="1">
        <f t="array" ref="Q15">INDEX(出演可能時間!$A$1:$J$24, MATCH(バンド!$B15, 出演可能時間!$A$1:$A$20, 0), COLUMN(出演可能時間!G$1))</f>
        <v>0</v>
      </c>
      <c r="R15" cm="1">
        <f t="array" ref="R15">INDEX(出演可能時間!$A$1:$J$24, MATCH(バンド!$B15, 出演可能時間!$A$1:$A$20, 0), COLUMN(出演可能時間!H$1))</f>
        <v>0</v>
      </c>
      <c r="S15" cm="1">
        <f t="array" ref="S15">INDEX(出演可能時間!$A$1:$J$24, MATCH(バンド!$B15, 出演可能時間!$A$1:$A$20, 0), COLUMN(出演可能時間!I$1))</f>
        <v>0</v>
      </c>
    </row>
    <row r="16" spans="1:19">
      <c r="A16">
        <v>15</v>
      </c>
      <c r="B16" t="s">
        <v>40</v>
      </c>
      <c r="C16" s="7" t="s">
        <v>19</v>
      </c>
      <c r="D16" s="7" t="s">
        <v>6</v>
      </c>
      <c r="E16" s="7" t="s">
        <v>29</v>
      </c>
      <c r="F16" s="7" t="s">
        <v>15</v>
      </c>
      <c r="G16" s="7" t="s">
        <v>22</v>
      </c>
      <c r="H16" s="7" t="s">
        <v>3</v>
      </c>
      <c r="I16">
        <v>0.67053323984146118</v>
      </c>
      <c r="J16">
        <f t="shared" si="0"/>
        <v>7</v>
      </c>
      <c r="K16" s="10"/>
      <c r="L16" cm="1">
        <f t="array" ref="L16">INDEX(出演可能時間!$A$1:$J$24, MATCH(バンド!$B16, 出演可能時間!$A$1:$A$20, 0), COLUMN(出演可能時間!B$1))</f>
        <v>0</v>
      </c>
      <c r="M16" cm="1">
        <f t="array" ref="M16">INDEX(出演可能時間!$A$1:$J$24, MATCH(バンド!$B16, 出演可能時間!$A$1:$A$20, 0), COLUMN(出演可能時間!C$1))</f>
        <v>0</v>
      </c>
      <c r="N16" cm="1">
        <f t="array" ref="N16">INDEX(出演可能時間!$A$1:$J$24, MATCH(バンド!$B16, 出演可能時間!$A$1:$A$20, 0), COLUMN(出演可能時間!D$1))</f>
        <v>0</v>
      </c>
      <c r="O16" cm="1">
        <f t="array" ref="O16">INDEX(出演可能時間!$A$1:$J$24, MATCH(バンド!$B16, 出演可能時間!$A$1:$A$20, 0), COLUMN(出演可能時間!E$1))</f>
        <v>0</v>
      </c>
      <c r="P16" cm="1">
        <f t="array" ref="P16">INDEX(出演可能時間!$A$1:$J$24, MATCH(バンド!$B16, 出演可能時間!$A$1:$A$20, 0), COLUMN(出演可能時間!F$1))</f>
        <v>0</v>
      </c>
      <c r="Q16" cm="1">
        <f t="array" ref="Q16">INDEX(出演可能時間!$A$1:$J$24, MATCH(バンド!$B16, 出演可能時間!$A$1:$A$20, 0), COLUMN(出演可能時間!G$1))</f>
        <v>0</v>
      </c>
      <c r="R16" cm="1">
        <f t="array" ref="R16">INDEX(出演可能時間!$A$1:$J$24, MATCH(バンド!$B16, 出演可能時間!$A$1:$A$20, 0), COLUMN(出演可能時間!H$1))</f>
        <v>0</v>
      </c>
      <c r="S16" cm="1">
        <f t="array" ref="S16">INDEX(出演可能時間!$A$1:$J$24, MATCH(バンド!$B16, 出演可能時間!$A$1:$A$20, 0), COLUMN(出演可能時間!I$1))</f>
        <v>0</v>
      </c>
    </row>
    <row r="17" spans="1:19">
      <c r="A17">
        <v>16</v>
      </c>
      <c r="B17" t="s">
        <v>82</v>
      </c>
      <c r="C17" s="7" t="s">
        <v>18</v>
      </c>
      <c r="D17" s="7" t="s">
        <v>9</v>
      </c>
      <c r="E17" s="7" t="s">
        <v>8</v>
      </c>
      <c r="F17" s="7" t="s">
        <v>7</v>
      </c>
      <c r="G17" s="7" t="s">
        <v>14</v>
      </c>
      <c r="H17" s="7" t="s">
        <v>73</v>
      </c>
      <c r="I17">
        <v>0.78839969635009766</v>
      </c>
      <c r="J17">
        <f t="shared" si="0"/>
        <v>5</v>
      </c>
      <c r="K17" s="10"/>
      <c r="L17" cm="1">
        <f t="array" ref="L17">INDEX(出演可能時間!$A$1:$J$24, MATCH(バンド!$B17, 出演可能時間!$A$1:$A$20, 0), COLUMN(出演可能時間!B$1))</f>
        <v>0</v>
      </c>
      <c r="M17" cm="1">
        <f t="array" ref="M17">INDEX(出演可能時間!$A$1:$J$24, MATCH(バンド!$B17, 出演可能時間!$A$1:$A$20, 0), COLUMN(出演可能時間!C$1))</f>
        <v>0</v>
      </c>
      <c r="N17" cm="1">
        <f t="array" ref="N17">INDEX(出演可能時間!$A$1:$J$24, MATCH(バンド!$B17, 出演可能時間!$A$1:$A$20, 0), COLUMN(出演可能時間!D$1))</f>
        <v>0</v>
      </c>
      <c r="O17" cm="1">
        <f t="array" ref="O17">INDEX(出演可能時間!$A$1:$J$24, MATCH(バンド!$B17, 出演可能時間!$A$1:$A$20, 0), COLUMN(出演可能時間!E$1))</f>
        <v>0</v>
      </c>
      <c r="P17" cm="1">
        <f t="array" ref="P17">INDEX(出演可能時間!$A$1:$J$24, MATCH(バンド!$B17, 出演可能時間!$A$1:$A$20, 0), COLUMN(出演可能時間!F$1))</f>
        <v>0</v>
      </c>
      <c r="Q17" cm="1">
        <f t="array" ref="Q17">INDEX(出演可能時間!$A$1:$J$24, MATCH(バンド!$B17, 出演可能時間!$A$1:$A$20, 0), COLUMN(出演可能時間!G$1))</f>
        <v>0</v>
      </c>
      <c r="R17" cm="1">
        <f t="array" ref="R17">INDEX(出演可能時間!$A$1:$J$24, MATCH(バンド!$B17, 出演可能時間!$A$1:$A$20, 0), COLUMN(出演可能時間!H$1))</f>
        <v>0</v>
      </c>
      <c r="S17" cm="1">
        <f t="array" ref="S17">INDEX(出演可能時間!$A$1:$J$24, MATCH(バンド!$B17, 出演可能時間!$A$1:$A$20, 0), COLUMN(出演可能時間!I$1))</f>
        <v>0</v>
      </c>
    </row>
    <row r="18" spans="1:19">
      <c r="B18" t="s">
        <v>100</v>
      </c>
      <c r="C18" t="s">
        <v>6</v>
      </c>
      <c r="D18" t="s">
        <v>10</v>
      </c>
      <c r="E18" t="s">
        <v>83</v>
      </c>
      <c r="F18" t="s">
        <v>22</v>
      </c>
      <c r="G18" t="s">
        <v>23</v>
      </c>
      <c r="H18" t="s">
        <v>34</v>
      </c>
    </row>
    <row r="19" spans="1:19">
      <c r="B19" t="s">
        <v>101</v>
      </c>
      <c r="C19" t="s">
        <v>26</v>
      </c>
      <c r="D19" t="s">
        <v>20</v>
      </c>
      <c r="E19" t="s">
        <v>96</v>
      </c>
      <c r="F19" t="s">
        <v>97</v>
      </c>
      <c r="G19" t="s">
        <v>16</v>
      </c>
      <c r="H19" t="s">
        <v>75</v>
      </c>
    </row>
    <row r="20" spans="1:19">
      <c r="B20" t="s">
        <v>102</v>
      </c>
      <c r="C20" t="s">
        <v>27</v>
      </c>
      <c r="D20" t="s">
        <v>21</v>
      </c>
      <c r="E20" t="s">
        <v>98</v>
      </c>
      <c r="F20" t="s">
        <v>99</v>
      </c>
      <c r="G20" t="s">
        <v>5</v>
      </c>
      <c r="H20" t="s">
        <v>24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57421-B19C-2D46-AD2A-74104216908D}">
  <sheetPr codeName="Sheet8"/>
  <dimension ref="A1:J17"/>
  <sheetViews>
    <sheetView workbookViewId="0"/>
  </sheetViews>
  <sheetFormatPr baseColWidth="10" defaultRowHeight="15"/>
  <cols>
    <col min="1" max="1" width="17.1640625" bestFit="1" customWidth="1"/>
  </cols>
  <sheetData>
    <row r="1" spans="1:10">
      <c r="A1" t="s">
        <v>52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</row>
    <row r="2" spans="1:10">
      <c r="A2" s="10" t="s">
        <v>1</v>
      </c>
    </row>
    <row r="3" spans="1:10">
      <c r="A3" s="10" t="s">
        <v>54</v>
      </c>
    </row>
    <row r="4" spans="1:10">
      <c r="A4" s="10" t="s">
        <v>55</v>
      </c>
    </row>
    <row r="5" spans="1:10">
      <c r="A5" s="10" t="s">
        <v>53</v>
      </c>
      <c r="B5">
        <v>1</v>
      </c>
      <c r="C5">
        <v>1</v>
      </c>
      <c r="D5">
        <v>1</v>
      </c>
    </row>
    <row r="6" spans="1:10">
      <c r="A6" s="10" t="s">
        <v>38</v>
      </c>
      <c r="B6">
        <v>1</v>
      </c>
      <c r="C6">
        <v>1</v>
      </c>
      <c r="D6">
        <v>1</v>
      </c>
    </row>
    <row r="7" spans="1:10">
      <c r="A7" s="10" t="s">
        <v>56</v>
      </c>
    </row>
    <row r="8" spans="1:10">
      <c r="A8" s="10" t="s">
        <v>72</v>
      </c>
    </row>
    <row r="9" spans="1:10">
      <c r="A9" s="10" t="s">
        <v>57</v>
      </c>
    </row>
    <row r="10" spans="1:10">
      <c r="A10" s="10" t="s">
        <v>2</v>
      </c>
    </row>
    <row r="11" spans="1:10">
      <c r="A11" s="10" t="s">
        <v>41</v>
      </c>
    </row>
    <row r="12" spans="1:10">
      <c r="A12" s="10" t="s">
        <v>39</v>
      </c>
    </row>
    <row r="13" spans="1:10">
      <c r="A13" s="10" t="s">
        <v>80</v>
      </c>
    </row>
    <row r="14" spans="1:10">
      <c r="A14" s="7" t="s">
        <v>81</v>
      </c>
    </row>
    <row r="15" spans="1:10">
      <c r="A15" t="s">
        <v>42</v>
      </c>
    </row>
    <row r="16" spans="1:10">
      <c r="A16" t="s">
        <v>40</v>
      </c>
    </row>
    <row r="17" spans="1:1">
      <c r="A17" t="s">
        <v>82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1EFF-61F7-144F-80CE-2C17340FA7AB}">
  <sheetPr codeName="Sheet6"/>
  <dimension ref="A1:AM71"/>
  <sheetViews>
    <sheetView tabSelected="1" zoomScale="114" workbookViewId="0"/>
  </sheetViews>
  <sheetFormatPr baseColWidth="10" defaultRowHeight="15"/>
  <cols>
    <col min="1" max="1" width="7" style="5" bestFit="1" customWidth="1"/>
    <col min="2" max="2" width="3" style="2" bestFit="1" customWidth="1"/>
    <col min="3" max="3" width="7" style="5" bestFit="1" customWidth="1"/>
    <col min="5" max="5" width="10" bestFit="1" customWidth="1"/>
    <col min="6" max="6" width="12" bestFit="1" customWidth="1"/>
    <col min="7" max="7" width="17.1640625" bestFit="1" customWidth="1"/>
    <col min="8" max="8" width="8.1640625" bestFit="1" customWidth="1"/>
    <col min="9" max="9" width="6.6640625" bestFit="1" customWidth="1"/>
    <col min="10" max="10" width="10" bestFit="1" customWidth="1"/>
    <col min="11" max="11" width="10" customWidth="1"/>
    <col min="24" max="39" width="7" bestFit="1" customWidth="1"/>
  </cols>
  <sheetData>
    <row r="1" spans="1:39">
      <c r="A1" s="4"/>
      <c r="B1" s="1"/>
      <c r="C1" s="4"/>
      <c r="D1" t="s">
        <v>32</v>
      </c>
      <c r="E1" t="s">
        <v>37</v>
      </c>
      <c r="F1" t="s">
        <v>35</v>
      </c>
      <c r="G1" t="s">
        <v>0</v>
      </c>
      <c r="H1" t="s">
        <v>71</v>
      </c>
      <c r="I1" t="s">
        <v>69</v>
      </c>
      <c r="J1" s="3" t="s">
        <v>67</v>
      </c>
      <c r="K1" s="3" t="s">
        <v>68</v>
      </c>
      <c r="L1" s="1" t="s">
        <v>36</v>
      </c>
      <c r="M1" s="1"/>
      <c r="N1" s="1"/>
      <c r="O1" s="1"/>
      <c r="P1" s="1"/>
      <c r="Q1" s="1"/>
      <c r="X1">
        <v>0</v>
      </c>
      <c r="Y1">
        <v>60</v>
      </c>
      <c r="Z1">
        <v>120</v>
      </c>
      <c r="AA1">
        <v>180</v>
      </c>
      <c r="AB1">
        <v>240</v>
      </c>
      <c r="AC1">
        <v>300</v>
      </c>
      <c r="AD1">
        <v>360</v>
      </c>
      <c r="AE1">
        <v>420</v>
      </c>
    </row>
    <row r="2" spans="1:39">
      <c r="A2" s="5">
        <v>0.375</v>
      </c>
      <c r="B2" s="2" t="s">
        <v>33</v>
      </c>
      <c r="C2" s="6">
        <f>A2+D2/24/60</f>
        <v>0.40625</v>
      </c>
      <c r="D2" s="7">
        <v>45</v>
      </c>
      <c r="E2">
        <f>D2</f>
        <v>45</v>
      </c>
      <c r="F2" t="s">
        <v>85</v>
      </c>
      <c r="G2" t="str">
        <f>IFERROR(INDEX(バンド!$A$1:$J$17,MATCH(タイムテーブル!$F2,バンド!$J$1:$J$17,0),2), "")</f>
        <v/>
      </c>
      <c r="H2" t="str">
        <f>IFERROR(INDEX(バンド!$A$1:$K$17,MATCH(タイムテーブル!$F2,バンド!$J$1:$J$17,0),11), "")</f>
        <v/>
      </c>
      <c r="I2" t="str">
        <f>IFERROR(INDEX(バンド!$A$1:$K$17,MATCH(タイムテーブル!$F2,バンド!$J$1:$J$17,0),11), "")</f>
        <v/>
      </c>
      <c r="J2" t="str">
        <f t="shared" ref="J2:J40" si="0">IFERROR(IF(G2="", "", SUM(R2:W2)), "")</f>
        <v/>
      </c>
      <c r="K2" t="str">
        <f t="shared" ref="K2:K40" si="1">IFERROR(IF(G2="", "", COUNTIF(AF2:AM2, "×")), "")</f>
        <v/>
      </c>
      <c r="L2" t="str" cm="1">
        <f t="array" ref="L2">IFERROR(INDEX(バンド!$A$1:$J$17,MATCH($G2,バンド!$B$1:$B$17,0),COLUMN(バンド!C$1))&amp;"", "")</f>
        <v/>
      </c>
      <c r="M2" t="str" cm="1">
        <f t="array" ref="M2">IFERROR(INDEX(バンド!$A$1:$J$17,MATCH($G2,バンド!$B$1:$B$17,0),COLUMN(バンド!D$1))&amp;"", "")</f>
        <v/>
      </c>
      <c r="N2" t="str" cm="1">
        <f t="array" ref="N2">IFERROR(INDEX(バンド!$A$1:$J$17,MATCH($G2,バンド!$B$1:$B$17,0),COLUMN(バンド!E$1))&amp;"", "")</f>
        <v/>
      </c>
      <c r="O2" t="str" cm="1">
        <f t="array" ref="O2">IFERROR(INDEX(バンド!$A$1:$J$17,MATCH($G2,バンド!$B$1:$B$17,0),COLUMN(バンド!F$1))&amp;"", "")</f>
        <v/>
      </c>
      <c r="P2" t="str" cm="1">
        <f t="array" ref="P2">IFERROR(INDEX(バンド!$A$1:$J$17,MATCH($G2,バンド!$B$1:$B$17,0),COLUMN(バンド!G$1))&amp;"", "")</f>
        <v/>
      </c>
      <c r="Q2" t="str" cm="1">
        <f t="array" ref="Q2">IFERROR(INDEX(バンド!$A$1:$J$17,MATCH($G2,バンド!$B$1:$B$17,0),COLUMN(バンド!H$1))&amp;"", "")</f>
        <v/>
      </c>
      <c r="R2" t="str" cm="1">
        <f t="array" ref="R2">_xlfn.IFS($I2="a", 0, L2="", "", TRUE, COUNTIF(#REF!, L2))</f>
        <v/>
      </c>
      <c r="S2" t="str" cm="1">
        <f t="array" ref="S2">_xlfn.IFS($I2="a", 0, M2="", "", TRUE, COUNTIF(#REF!, M2))</f>
        <v/>
      </c>
      <c r="T2" t="str" cm="1">
        <f t="array" ref="T2">_xlfn.IFS($I2="a", 0, N2="", "", TRUE, COUNTIF(#REF!, N2))</f>
        <v/>
      </c>
      <c r="U2" t="str" cm="1">
        <f t="array" ref="U2">_xlfn.IFS($I2="a", 0, O2="", "", TRUE, COUNTIF(#REF!, O2))</f>
        <v/>
      </c>
      <c r="V2" t="str" cm="1">
        <f t="array" ref="V2">_xlfn.IFS($I2="a", 0, P2="", "", TRUE, COUNTIF(#REF!, P2))</f>
        <v/>
      </c>
      <c r="W2" t="str" cm="1">
        <f t="array" ref="W2">_xlfn.IFS($I2="a", 0, Q2="", "", TRUE, COUNTIF(#REF!, Q2))</f>
        <v/>
      </c>
      <c r="X2" t="str" cm="1">
        <f t="array" ref="X2">IFERROR(INDEX(バンド!$A$1:$S$17,MATCH(タイムテーブル!$G2,バンド!$B$1:$B$17,0),COLUMN(バンド!L$1))&amp;"", "")</f>
        <v/>
      </c>
      <c r="Y2" t="str" cm="1">
        <f t="array" ref="Y2">IFERROR(INDEX(バンド!$A$1:$S$17,MATCH(タイムテーブル!$G2,バンド!$B$1:$B$17,0),COLUMN(バンド!M$1))&amp;"", "")</f>
        <v/>
      </c>
      <c r="Z2" t="str" cm="1">
        <f t="array" ref="Z2">IFERROR(INDEX(バンド!$A$1:$S$17,MATCH(タイムテーブル!$G2,バンド!$B$1:$B$17,0),COLUMN(バンド!N$1))&amp;"", "")</f>
        <v/>
      </c>
      <c r="AA2" t="str" cm="1">
        <f t="array" ref="AA2">IFERROR(INDEX(バンド!$A$1:$S$17,MATCH(タイムテーブル!$G2,バンド!$B$1:$B$17,0),COLUMN(バンド!O$1))&amp;"", "")</f>
        <v/>
      </c>
      <c r="AB2" t="str" cm="1">
        <f t="array" ref="AB2">IFERROR(INDEX(バンド!$A$1:$S$17,MATCH(タイムテーブル!$G2,バンド!$B$1:$B$17,0),COLUMN(バンド!P$1))&amp;"", "")</f>
        <v/>
      </c>
      <c r="AC2" t="str" cm="1">
        <f t="array" ref="AC2">IFERROR(INDEX(バンド!$A$1:$S$17,MATCH(タイムテーブル!$G2,バンド!$B$1:$B$17,0),COLUMN(バンド!Q$1))&amp;"", "")</f>
        <v/>
      </c>
      <c r="AD2" t="str" cm="1">
        <f t="array" ref="AD2">IFERROR(INDEX(バンド!$A$1:$S$17,MATCH(タイムテーブル!$G2,バンド!$B$1:$B$17,0),COLUMN(バンド!R$1))&amp;"", "")</f>
        <v/>
      </c>
      <c r="AE2" t="str" cm="1">
        <f t="array" ref="AE2">IFERROR(INDEX(バンド!$A$1:$S$17,MATCH(タイムテーブル!$G2,バンド!$B$1:$B$17,0),COLUMN(バンド!S$1))&amp;"", "")</f>
        <v/>
      </c>
      <c r="AF2" t="str" cm="1">
        <f t="array" ref="AF2">_xlfn.IFS(X2&lt;&gt;"1", "", OR(AND(X$1&lt;$E2-$D2, $E2-$D2&lt;X$1+60), AND(X$1&lt;$E2, $E2&lt;X$1+60)), "×", TRUE, "")</f>
        <v/>
      </c>
      <c r="AG2" t="str" cm="1">
        <f t="array" ref="AG2">_xlfn.IFS(Y2&lt;&gt;"1", "", OR(AND(Y$1&lt;$E2-$D2, $E2-$D2&lt;Y$1+60), AND(Y$1&lt;$E2, $E2&lt;Y$1+60)), "×", TRUE, "")</f>
        <v/>
      </c>
      <c r="AH2" t="str" cm="1">
        <f t="array" ref="AH2">_xlfn.IFS(Z2&lt;&gt;"1", "", OR(AND(Z$1&lt;$E2-$D2, $E2-$D2&lt;Z$1+60), AND(Z$1&lt;$E2, $E2&lt;Z$1+60)), "×", TRUE, "")</f>
        <v/>
      </c>
      <c r="AI2" t="str" cm="1">
        <f t="array" ref="AI2">_xlfn.IFS(AA2&lt;&gt;"1", "", OR(AND(AA$1&lt;$E2-$D2, $E2-$D2&lt;AA$1+60), AND(AA$1&lt;$E2, $E2&lt;AA$1+60)), "×", TRUE, "")</f>
        <v/>
      </c>
      <c r="AJ2" t="str" cm="1">
        <f t="array" ref="AJ2">_xlfn.IFS(AB2&lt;&gt;"1", "", OR(AND(AB$1&lt;$E2-$D2, $E2-$D2&lt;AB$1+60), AND(AB$1&lt;$E2, $E2&lt;AB$1+60)), "×", TRUE, "")</f>
        <v/>
      </c>
      <c r="AK2" t="str" cm="1">
        <f t="array" ref="AK2">_xlfn.IFS(AC2&lt;&gt;"1", "", OR(AND(AC$1&lt;$E2-$D2, $E2-$D2&lt;AC$1+60), AND(AC$1&lt;$E2, $E2&lt;AC$1+60)), "×", TRUE, "")</f>
        <v/>
      </c>
      <c r="AL2" t="str" cm="1">
        <f t="array" ref="AL2">_xlfn.IFS(AD2&lt;&gt;"1", "", OR(AND(AD$1&lt;$E2-$D2, $E2-$D2&lt;AD$1+60), AND(AD$1&lt;$E2, $E2&lt;AD$1+60)), "×", TRUE, "")</f>
        <v/>
      </c>
      <c r="AM2" t="str" cm="1">
        <f t="array" ref="AM2">_xlfn.IFS(AE2&lt;&gt;"1", "", OR(AND(AE$1&lt;$E2-$D2, $E2-$D2&lt;AE$1+60), AND(AE$1&lt;$E2, $E2&lt;AE$1+60)), "×", TRUE, "")</f>
        <v/>
      </c>
    </row>
    <row r="3" spans="1:39">
      <c r="A3" s="5">
        <f>C2</f>
        <v>0.40625</v>
      </c>
      <c r="B3" s="2" t="s">
        <v>33</v>
      </c>
      <c r="C3" s="6">
        <f>A3+D3/24/60</f>
        <v>0.41111111111111109</v>
      </c>
      <c r="D3" s="7">
        <v>7</v>
      </c>
      <c r="E3">
        <f>E2+D3</f>
        <v>52</v>
      </c>
      <c r="F3" t="s">
        <v>86</v>
      </c>
      <c r="G3" t="str">
        <f>IFERROR(INDEX(バンド!$A$1:$J$17,MATCH(タイムテーブル!$F3,バンド!$J$1:$J$17,0),2), "")</f>
        <v/>
      </c>
      <c r="H3" t="str">
        <f>IFERROR(INDEX(バンド!$A$1:$K$17,MATCH(タイムテーブル!$F3,バンド!$J$1:$J$17,0),11), "")</f>
        <v/>
      </c>
      <c r="I3" t="str">
        <f>IFERROR(INDEX(バンド!$A$1:$K$17,MATCH(タイムテーブル!$F3,バンド!$J$1:$J$17,0),11), "")</f>
        <v/>
      </c>
      <c r="J3" t="str">
        <f t="shared" si="0"/>
        <v/>
      </c>
      <c r="K3" t="str">
        <f t="shared" si="1"/>
        <v/>
      </c>
      <c r="L3" t="str" cm="1">
        <f t="array" ref="L3">IFERROR(INDEX(バンド!$A$1:$J$17,MATCH($G3,バンド!$B$1:$B$17,0),COLUMN(バンド!C$1))&amp;"", "")</f>
        <v/>
      </c>
      <c r="M3" t="str" cm="1">
        <f t="array" ref="M3">IFERROR(INDEX(バンド!$A$1:$J$17,MATCH($G3,バンド!$B$1:$B$17,0),COLUMN(バンド!D$1))&amp;"", "")</f>
        <v/>
      </c>
      <c r="N3" t="str" cm="1">
        <f t="array" ref="N3">IFERROR(INDEX(バンド!$A$1:$J$17,MATCH($G3,バンド!$B$1:$B$17,0),COLUMN(バンド!E$1))&amp;"", "")</f>
        <v/>
      </c>
      <c r="O3" t="str" cm="1">
        <f t="array" ref="O3">IFERROR(INDEX(バンド!$A$1:$J$17,MATCH($G3,バンド!$B$1:$B$17,0),COLUMN(バンド!F$1))&amp;"", "")</f>
        <v/>
      </c>
      <c r="P3" t="str" cm="1">
        <f t="array" ref="P3">IFERROR(INDEX(バンド!$A$1:$J$17,MATCH($G3,バンド!$B$1:$B$17,0),COLUMN(バンド!G$1))&amp;"", "")</f>
        <v/>
      </c>
      <c r="Q3" t="str" cm="1">
        <f t="array" ref="Q3">IFERROR(INDEX(バンド!$A$1:$J$17,MATCH($G3,バンド!$B$1:$B$17,0),COLUMN(バンド!H$1))&amp;"", "")</f>
        <v/>
      </c>
      <c r="R3" t="str" cm="1">
        <f t="array" ref="R3">_xlfn.IFS($I3="a", 0, L3="", "", TRUE, COUNTIF($L1:$Q1, L3))</f>
        <v/>
      </c>
      <c r="S3" t="str" cm="1">
        <f t="array" ref="S3">_xlfn.IFS($I3="a", 0, M3="", "", TRUE, COUNTIF($L1:$Q1, M3))</f>
        <v/>
      </c>
      <c r="T3" t="str" cm="1">
        <f t="array" ref="T3">_xlfn.IFS($I3="a", 0, N3="", "", TRUE, COUNTIF($L1:$Q1, N3))</f>
        <v/>
      </c>
      <c r="U3" t="str" cm="1">
        <f t="array" ref="U3">_xlfn.IFS($I3="a", 0, O3="", "", TRUE, COUNTIF($L1:$Q1, O3))</f>
        <v/>
      </c>
      <c r="V3" t="str" cm="1">
        <f t="array" ref="V3">_xlfn.IFS($I3="a", 0, P3="", "", TRUE, COUNTIF($L1:$Q1, P3))</f>
        <v/>
      </c>
      <c r="W3" t="str" cm="1">
        <f t="array" ref="W3">_xlfn.IFS($I3="a", 0, Q3="", "", TRUE, COUNTIF($L1:$Q1, Q3))</f>
        <v/>
      </c>
      <c r="X3" t="str" cm="1">
        <f t="array" ref="X3">IFERROR(INDEX(バンド!$A$1:$S$17,MATCH(タイムテーブル!$G3,バンド!$B$1:$B$17,0),COLUMN(バンド!L$1))&amp;"", "")</f>
        <v/>
      </c>
      <c r="Y3" t="str" cm="1">
        <f t="array" ref="Y3">IFERROR(INDEX(バンド!$A$1:$S$17,MATCH(タイムテーブル!$G3,バンド!$B$1:$B$17,0),COLUMN(バンド!M$1))&amp;"", "")</f>
        <v/>
      </c>
      <c r="Z3" t="str" cm="1">
        <f t="array" ref="Z3">IFERROR(INDEX(バンド!$A$1:$S$17,MATCH(タイムテーブル!$G3,バンド!$B$1:$B$17,0),COLUMN(バンド!N$1))&amp;"", "")</f>
        <v/>
      </c>
      <c r="AA3" t="str" cm="1">
        <f t="array" ref="AA3">IFERROR(INDEX(バンド!$A$1:$S$17,MATCH(タイムテーブル!$G3,バンド!$B$1:$B$17,0),COLUMN(バンド!O$1))&amp;"", "")</f>
        <v/>
      </c>
      <c r="AB3" t="str" cm="1">
        <f t="array" ref="AB3">IFERROR(INDEX(バンド!$A$1:$S$17,MATCH(タイムテーブル!$G3,バンド!$B$1:$B$17,0),COLUMN(バンド!P$1))&amp;"", "")</f>
        <v/>
      </c>
      <c r="AC3" t="str" cm="1">
        <f t="array" ref="AC3">IFERROR(INDEX(バンド!$A$1:$S$17,MATCH(タイムテーブル!$G3,バンド!$B$1:$B$17,0),COLUMN(バンド!Q$1))&amp;"", "")</f>
        <v/>
      </c>
      <c r="AD3" t="str" cm="1">
        <f t="array" ref="AD3">IFERROR(INDEX(バンド!$A$1:$S$17,MATCH(タイムテーブル!$G3,バンド!$B$1:$B$17,0),COLUMN(バンド!R$1))&amp;"", "")</f>
        <v/>
      </c>
      <c r="AE3" t="str" cm="1">
        <f t="array" ref="AE3">IFERROR(INDEX(バンド!$A$1:$S$17,MATCH(タイムテーブル!$G3,バンド!$B$1:$B$17,0),COLUMN(バンド!S$1))&amp;"", "")</f>
        <v/>
      </c>
      <c r="AF3" t="str" cm="1">
        <f t="array" ref="AF3">_xlfn.IFS(X3&lt;&gt;"1", "", OR(AND(X$1&lt;$E3-$D3, $E3-$D3&lt;X$1+60), AND(X$1&lt;$E3, $E3&lt;X$1+60)), "×", TRUE, "")</f>
        <v/>
      </c>
      <c r="AG3" t="str" cm="1">
        <f t="array" ref="AG3">_xlfn.IFS(Y3&lt;&gt;"1", "", OR(AND(Y$1&lt;$E3-$D3, $E3-$D3&lt;Y$1+60), AND(Y$1&lt;$E3, $E3&lt;Y$1+60)), "×", TRUE, "")</f>
        <v/>
      </c>
      <c r="AH3" t="str" cm="1">
        <f t="array" ref="AH3">_xlfn.IFS(Z3&lt;&gt;"1", "", OR(AND(Z$1&lt;$E3-$D3, $E3-$D3&lt;Z$1+60), AND(Z$1&lt;$E3, $E3&lt;Z$1+60)), "×", TRUE, "")</f>
        <v/>
      </c>
      <c r="AI3" t="str" cm="1">
        <f t="array" ref="AI3">_xlfn.IFS(AA3&lt;&gt;"1", "", OR(AND(AA$1&lt;$E3-$D3, $E3-$D3&lt;AA$1+60), AND(AA$1&lt;$E3, $E3&lt;AA$1+60)), "×", TRUE, "")</f>
        <v/>
      </c>
      <c r="AJ3" t="str" cm="1">
        <f t="array" ref="AJ3">_xlfn.IFS(AB3&lt;&gt;"1", "", OR(AND(AB$1&lt;$E3-$D3, $E3-$D3&lt;AB$1+60), AND(AB$1&lt;$E3, $E3&lt;AB$1+60)), "×", TRUE, "")</f>
        <v/>
      </c>
      <c r="AK3" t="str" cm="1">
        <f t="array" ref="AK3">_xlfn.IFS(AC3&lt;&gt;"1", "", OR(AND(AC$1&lt;$E3-$D3, $E3-$D3&lt;AC$1+60), AND(AC$1&lt;$E3, $E3&lt;AC$1+60)), "×", TRUE, "")</f>
        <v/>
      </c>
      <c r="AL3" t="str" cm="1">
        <f t="array" ref="AL3">_xlfn.IFS(AD3&lt;&gt;"1", "", OR(AND(AD$1&lt;$E3-$D3, $E3-$D3&lt;AD$1+60), AND(AD$1&lt;$E3, $E3&lt;AD$1+60)), "×", TRUE, "")</f>
        <v/>
      </c>
      <c r="AM3" t="str" cm="1">
        <f t="array" ref="AM3">_xlfn.IFS(AE3&lt;&gt;"1", "", OR(AND(AE$1&lt;$E3-$D3, $E3-$D3&lt;AE$1+60), AND(AE$1&lt;$E3, $E3&lt;AE$1+60)), "×", TRUE, "")</f>
        <v/>
      </c>
    </row>
    <row r="4" spans="1:39">
      <c r="A4" s="5">
        <f t="shared" ref="A4:A17" si="2">C3</f>
        <v>0.41111111111111109</v>
      </c>
      <c r="B4" s="2" t="s">
        <v>33</v>
      </c>
      <c r="C4" s="6">
        <f t="shared" ref="C4:C16" si="3">A4+D4/24/60</f>
        <v>0.41597222222222219</v>
      </c>
      <c r="D4" s="7">
        <v>7</v>
      </c>
      <c r="E4">
        <f t="shared" ref="E4:E40" si="4">E3+D4</f>
        <v>59</v>
      </c>
      <c r="F4" t="s">
        <v>87</v>
      </c>
      <c r="G4" t="str">
        <f>IFERROR(INDEX(バンド!$A$1:$J$17,MATCH(タイムテーブル!$F4,バンド!$J$1:$J$17,0),2), "")</f>
        <v/>
      </c>
      <c r="H4" t="str">
        <f>IFERROR(INDEX(バンド!$A$1:$K$17,MATCH(タイムテーブル!$F4,バンド!$J$1:$J$17,0),11), "")</f>
        <v/>
      </c>
      <c r="I4" t="str">
        <f>IFERROR(INDEX(バンド!$A$1:$K$17,MATCH(タイムテーブル!$F4,バンド!$J$1:$J$17,0),11), "")</f>
        <v/>
      </c>
      <c r="J4" t="str">
        <f t="shared" si="0"/>
        <v/>
      </c>
      <c r="K4" t="str">
        <f t="shared" si="1"/>
        <v/>
      </c>
      <c r="L4" t="str" cm="1">
        <f t="array" ref="L4">IFERROR(INDEX(バンド!$A$1:$J$17,MATCH($G4,バンド!$B$1:$B$17,0),COLUMN(バンド!C$1))&amp;"", "")</f>
        <v/>
      </c>
      <c r="M4" t="str" cm="1">
        <f t="array" ref="M4">IFERROR(INDEX(バンド!$A$1:$J$17,MATCH($G4,バンド!$B$1:$B$17,0),COLUMN(バンド!D$1))&amp;"", "")</f>
        <v/>
      </c>
      <c r="N4" t="str" cm="1">
        <f t="array" ref="N4">IFERROR(INDEX(バンド!$A$1:$J$17,MATCH($G4,バンド!$B$1:$B$17,0),COLUMN(バンド!E$1))&amp;"", "")</f>
        <v/>
      </c>
      <c r="O4" t="str" cm="1">
        <f t="array" ref="O4">IFERROR(INDEX(バンド!$A$1:$J$17,MATCH($G4,バンド!$B$1:$B$17,0),COLUMN(バンド!F$1))&amp;"", "")</f>
        <v/>
      </c>
      <c r="P4" t="str" cm="1">
        <f t="array" ref="P4">IFERROR(INDEX(バンド!$A$1:$J$17,MATCH($G4,バンド!$B$1:$B$17,0),COLUMN(バンド!G$1))&amp;"", "")</f>
        <v/>
      </c>
      <c r="Q4" t="str" cm="1">
        <f t="array" ref="Q4">IFERROR(INDEX(バンド!$A$1:$J$17,MATCH($G4,バンド!$B$1:$B$17,0),COLUMN(バンド!H$1))&amp;"", "")</f>
        <v/>
      </c>
      <c r="R4" t="str" cm="1">
        <f t="array" ref="R4">_xlfn.IFS($I4="a", 0, L4="", "", TRUE, COUNTIF($L2:$Q2, L4))</f>
        <v/>
      </c>
      <c r="S4" t="str" cm="1">
        <f t="array" ref="S4">_xlfn.IFS($I4="a", 0, M4="", "", TRUE, COUNTIF($L2:$Q2, M4))</f>
        <v/>
      </c>
      <c r="T4" t="str" cm="1">
        <f t="array" ref="T4">_xlfn.IFS($I4="a", 0, N4="", "", TRUE, COUNTIF($L2:$Q2, N4))</f>
        <v/>
      </c>
      <c r="U4" t="str" cm="1">
        <f t="array" ref="U4">_xlfn.IFS($I4="a", 0, O4="", "", TRUE, COUNTIF($L2:$Q2, O4))</f>
        <v/>
      </c>
      <c r="V4" t="str" cm="1">
        <f t="array" ref="V4">_xlfn.IFS($I4="a", 0, P4="", "", TRUE, COUNTIF($L2:$Q2, P4))</f>
        <v/>
      </c>
      <c r="W4" t="str" cm="1">
        <f t="array" ref="W4">_xlfn.IFS($I4="a", 0, Q4="", "", TRUE, COUNTIF($L2:$Q2, Q4))</f>
        <v/>
      </c>
      <c r="X4" t="str" cm="1">
        <f t="array" ref="X4">IFERROR(INDEX(バンド!$A$1:$S$17,MATCH(タイムテーブル!$G4,バンド!$B$1:$B$17,0),COLUMN(バンド!L$1))&amp;"", "")</f>
        <v/>
      </c>
      <c r="Y4" t="str" cm="1">
        <f t="array" ref="Y4">IFERROR(INDEX(バンド!$A$1:$S$17,MATCH(タイムテーブル!$G4,バンド!$B$1:$B$17,0),COLUMN(バンド!M$1))&amp;"", "")</f>
        <v/>
      </c>
      <c r="Z4" t="str" cm="1">
        <f t="array" ref="Z4">IFERROR(INDEX(バンド!$A$1:$S$17,MATCH(タイムテーブル!$G4,バンド!$B$1:$B$17,0),COLUMN(バンド!N$1))&amp;"", "")</f>
        <v/>
      </c>
      <c r="AA4" t="str" cm="1">
        <f t="array" ref="AA4">IFERROR(INDEX(バンド!$A$1:$S$17,MATCH(タイムテーブル!$G4,バンド!$B$1:$B$17,0),COLUMN(バンド!O$1))&amp;"", "")</f>
        <v/>
      </c>
      <c r="AB4" t="str" cm="1">
        <f t="array" ref="AB4">IFERROR(INDEX(バンド!$A$1:$S$17,MATCH(タイムテーブル!$G4,バンド!$B$1:$B$17,0),COLUMN(バンド!P$1))&amp;"", "")</f>
        <v/>
      </c>
      <c r="AC4" t="str" cm="1">
        <f t="array" ref="AC4">IFERROR(INDEX(バンド!$A$1:$S$17,MATCH(タイムテーブル!$G4,バンド!$B$1:$B$17,0),COLUMN(バンド!Q$1))&amp;"", "")</f>
        <v/>
      </c>
      <c r="AD4" t="str" cm="1">
        <f t="array" ref="AD4">IFERROR(INDEX(バンド!$A$1:$S$17,MATCH(タイムテーブル!$G4,バンド!$B$1:$B$17,0),COLUMN(バンド!R$1))&amp;"", "")</f>
        <v/>
      </c>
      <c r="AE4" t="str" cm="1">
        <f t="array" ref="AE4">IFERROR(INDEX(バンド!$A$1:$S$17,MATCH(タイムテーブル!$G4,バンド!$B$1:$B$17,0),COLUMN(バンド!S$1))&amp;"", "")</f>
        <v/>
      </c>
      <c r="AF4" t="str" cm="1">
        <f t="array" ref="AF4">_xlfn.IFS(X4&lt;&gt;"1", "", OR(AND(X$1&lt;$E4-$D4, $E4-$D4&lt;X$1+60), AND(X$1&lt;$E4, $E4&lt;X$1+60)), "×", TRUE, "")</f>
        <v/>
      </c>
      <c r="AG4" t="str" cm="1">
        <f t="array" ref="AG4">_xlfn.IFS(Y4&lt;&gt;"1", "", OR(AND(Y$1&lt;$E4-$D4, $E4-$D4&lt;Y$1+60), AND(Y$1&lt;$E4, $E4&lt;Y$1+60)), "×", TRUE, "")</f>
        <v/>
      </c>
      <c r="AH4" t="str" cm="1">
        <f t="array" ref="AH4">_xlfn.IFS(Z4&lt;&gt;"1", "", OR(AND(Z$1&lt;$E4-$D4, $E4-$D4&lt;Z$1+60), AND(Z$1&lt;$E4, $E4&lt;Z$1+60)), "×", TRUE, "")</f>
        <v/>
      </c>
      <c r="AI4" t="str" cm="1">
        <f t="array" ref="AI4">_xlfn.IFS(AA4&lt;&gt;"1", "", OR(AND(AA$1&lt;$E4-$D4, $E4-$D4&lt;AA$1+60), AND(AA$1&lt;$E4, $E4&lt;AA$1+60)), "×", TRUE, "")</f>
        <v/>
      </c>
      <c r="AJ4" t="str" cm="1">
        <f t="array" ref="AJ4">_xlfn.IFS(AB4&lt;&gt;"1", "", OR(AND(AB$1&lt;$E4-$D4, $E4-$D4&lt;AB$1+60), AND(AB$1&lt;$E4, $E4&lt;AB$1+60)), "×", TRUE, "")</f>
        <v/>
      </c>
      <c r="AK4" t="str" cm="1">
        <f t="array" ref="AK4">_xlfn.IFS(AC4&lt;&gt;"1", "", OR(AND(AC$1&lt;$E4-$D4, $E4-$D4&lt;AC$1+60), AND(AC$1&lt;$E4, $E4&lt;AC$1+60)), "×", TRUE, "")</f>
        <v/>
      </c>
      <c r="AL4" t="str" cm="1">
        <f t="array" ref="AL4">_xlfn.IFS(AD4&lt;&gt;"1", "", OR(AND(AD$1&lt;$E4-$D4, $E4-$D4&lt;AD$1+60), AND(AD$1&lt;$E4, $E4&lt;AD$1+60)), "×", TRUE, "")</f>
        <v/>
      </c>
      <c r="AM4" t="str" cm="1">
        <f t="array" ref="AM4">_xlfn.IFS(AE4&lt;&gt;"1", "", OR(AND(AE$1&lt;$E4-$D4, $E4-$D4&lt;AE$1+60), AND(AE$1&lt;$E4, $E4&lt;AE$1+60)), "×", TRUE, "")</f>
        <v/>
      </c>
    </row>
    <row r="5" spans="1:39">
      <c r="A5" s="5">
        <f t="shared" si="2"/>
        <v>0.41597222222222219</v>
      </c>
      <c r="B5" s="2" t="s">
        <v>33</v>
      </c>
      <c r="C5" s="6">
        <f t="shared" si="3"/>
        <v>0.42083333333333328</v>
      </c>
      <c r="D5" s="7">
        <v>7</v>
      </c>
      <c r="E5">
        <f t="shared" si="4"/>
        <v>66</v>
      </c>
      <c r="F5" t="s">
        <v>88</v>
      </c>
      <c r="G5" t="str">
        <f>IFERROR(INDEX(バンド!$A$1:$J$17,MATCH(タイムテーブル!$F5,バンド!$J$1:$J$17,0),2), "")</f>
        <v/>
      </c>
      <c r="H5" t="str">
        <f>IFERROR(INDEX(バンド!$A$1:$K$17,MATCH(タイムテーブル!$F5,バンド!$J$1:$J$17,0),11), "")</f>
        <v/>
      </c>
      <c r="I5" t="str">
        <f>IFERROR(INDEX(バンド!$A$1:$K$17,MATCH(タイムテーブル!$F5,バンド!$J$1:$J$17,0),11), "")</f>
        <v/>
      </c>
      <c r="J5" t="str">
        <f t="shared" si="0"/>
        <v/>
      </c>
      <c r="K5" t="str">
        <f t="shared" si="1"/>
        <v/>
      </c>
      <c r="L5" t="str" cm="1">
        <f t="array" ref="L5">IFERROR(INDEX(バンド!$A$1:$J$17,MATCH($G5,バンド!$B$1:$B$17,0),COLUMN(バンド!C$1))&amp;"", "")</f>
        <v/>
      </c>
      <c r="M5" t="str" cm="1">
        <f t="array" ref="M5">IFERROR(INDEX(バンド!$A$1:$J$17,MATCH($G5,バンド!$B$1:$B$17,0),COLUMN(バンド!D$1))&amp;"", "")</f>
        <v/>
      </c>
      <c r="N5" t="str" cm="1">
        <f t="array" ref="N5">IFERROR(INDEX(バンド!$A$1:$J$17,MATCH($G5,バンド!$B$1:$B$17,0),COLUMN(バンド!E$1))&amp;"", "")</f>
        <v/>
      </c>
      <c r="O5" t="str" cm="1">
        <f t="array" ref="O5">IFERROR(INDEX(バンド!$A$1:$J$17,MATCH($G5,バンド!$B$1:$B$17,0),COLUMN(バンド!F$1))&amp;"", "")</f>
        <v/>
      </c>
      <c r="P5" t="str" cm="1">
        <f t="array" ref="P5">IFERROR(INDEX(バンド!$A$1:$J$17,MATCH($G5,バンド!$B$1:$B$17,0),COLUMN(バンド!G$1))&amp;"", "")</f>
        <v/>
      </c>
      <c r="Q5" t="str" cm="1">
        <f t="array" ref="Q5">IFERROR(INDEX(バンド!$A$1:$J$17,MATCH($G5,バンド!$B$1:$B$17,0),COLUMN(バンド!H$1))&amp;"", "")</f>
        <v/>
      </c>
      <c r="R5" t="str" cm="1">
        <f t="array" ref="R5">_xlfn.IFS($I5="a", 0, L5="", "", TRUE, COUNTIF($L3:$Q3, L5))</f>
        <v/>
      </c>
      <c r="S5" t="str" cm="1">
        <f t="array" ref="S5">_xlfn.IFS($I5="a", 0, M5="", "", TRUE, COUNTIF($L3:$Q3, M5))</f>
        <v/>
      </c>
      <c r="T5" t="str" cm="1">
        <f t="array" ref="T5">_xlfn.IFS($I5="a", 0, N5="", "", TRUE, COUNTIF($L3:$Q3, N5))</f>
        <v/>
      </c>
      <c r="U5" t="str" cm="1">
        <f t="array" ref="U5">_xlfn.IFS($I5="a", 0, O5="", "", TRUE, COUNTIF($L3:$Q3, O5))</f>
        <v/>
      </c>
      <c r="V5" t="str" cm="1">
        <f t="array" ref="V5">_xlfn.IFS($I5="a", 0, P5="", "", TRUE, COUNTIF($L3:$Q3, P5))</f>
        <v/>
      </c>
      <c r="W5" t="str" cm="1">
        <f t="array" ref="W5">_xlfn.IFS($I5="a", 0, Q5="", "", TRUE, COUNTIF($L3:$Q3, Q5))</f>
        <v/>
      </c>
      <c r="X5" t="str" cm="1">
        <f t="array" ref="X5">IFERROR(INDEX(バンド!$A$1:$S$17,MATCH(タイムテーブル!$G5,バンド!$B$1:$B$17,0),COLUMN(バンド!L$1))&amp;"", "")</f>
        <v/>
      </c>
      <c r="Y5" t="str" cm="1">
        <f t="array" ref="Y5">IFERROR(INDEX(バンド!$A$1:$S$17,MATCH(タイムテーブル!$G5,バンド!$B$1:$B$17,0),COLUMN(バンド!M$1))&amp;"", "")</f>
        <v/>
      </c>
      <c r="Z5" t="str" cm="1">
        <f t="array" ref="Z5">IFERROR(INDEX(バンド!$A$1:$S$17,MATCH(タイムテーブル!$G5,バンド!$B$1:$B$17,0),COLUMN(バンド!N$1))&amp;"", "")</f>
        <v/>
      </c>
      <c r="AA5" t="str" cm="1">
        <f t="array" ref="AA5">IFERROR(INDEX(バンド!$A$1:$S$17,MATCH(タイムテーブル!$G5,バンド!$B$1:$B$17,0),COLUMN(バンド!O$1))&amp;"", "")</f>
        <v/>
      </c>
      <c r="AB5" t="str" cm="1">
        <f t="array" ref="AB5">IFERROR(INDEX(バンド!$A$1:$S$17,MATCH(タイムテーブル!$G5,バンド!$B$1:$B$17,0),COLUMN(バンド!P$1))&amp;"", "")</f>
        <v/>
      </c>
      <c r="AC5" t="str" cm="1">
        <f t="array" ref="AC5">IFERROR(INDEX(バンド!$A$1:$S$17,MATCH(タイムテーブル!$G5,バンド!$B$1:$B$17,0),COLUMN(バンド!Q$1))&amp;"", "")</f>
        <v/>
      </c>
      <c r="AD5" t="str" cm="1">
        <f t="array" ref="AD5">IFERROR(INDEX(バンド!$A$1:$S$17,MATCH(タイムテーブル!$G5,バンド!$B$1:$B$17,0),COLUMN(バンド!R$1))&amp;"", "")</f>
        <v/>
      </c>
      <c r="AE5" t="str" cm="1">
        <f t="array" ref="AE5">IFERROR(INDEX(バンド!$A$1:$S$17,MATCH(タイムテーブル!$G5,バンド!$B$1:$B$17,0),COLUMN(バンド!S$1))&amp;"", "")</f>
        <v/>
      </c>
      <c r="AF5" t="str" cm="1">
        <f t="array" ref="AF5">_xlfn.IFS(X5&lt;&gt;"1", "", OR(AND(X$1&lt;$E5-$D5, $E5-$D5&lt;X$1+60), AND(X$1&lt;$E5, $E5&lt;X$1+60)), "×", TRUE, "")</f>
        <v/>
      </c>
      <c r="AG5" t="str" cm="1">
        <f t="array" ref="AG5">_xlfn.IFS(Y5&lt;&gt;"1", "", OR(AND(Y$1&lt;$E5-$D5, $E5-$D5&lt;Y$1+60), AND(Y$1&lt;$E5, $E5&lt;Y$1+60)), "×", TRUE, "")</f>
        <v/>
      </c>
      <c r="AH5" t="str" cm="1">
        <f t="array" ref="AH5">_xlfn.IFS(Z5&lt;&gt;"1", "", OR(AND(Z$1&lt;$E5-$D5, $E5-$D5&lt;Z$1+60), AND(Z$1&lt;$E5, $E5&lt;Z$1+60)), "×", TRUE, "")</f>
        <v/>
      </c>
      <c r="AI5" t="str" cm="1">
        <f t="array" ref="AI5">_xlfn.IFS(AA5&lt;&gt;"1", "", OR(AND(AA$1&lt;$E5-$D5, $E5-$D5&lt;AA$1+60), AND(AA$1&lt;$E5, $E5&lt;AA$1+60)), "×", TRUE, "")</f>
        <v/>
      </c>
      <c r="AJ5" t="str" cm="1">
        <f t="array" ref="AJ5">_xlfn.IFS(AB5&lt;&gt;"1", "", OR(AND(AB$1&lt;$E5-$D5, $E5-$D5&lt;AB$1+60), AND(AB$1&lt;$E5, $E5&lt;AB$1+60)), "×", TRUE, "")</f>
        <v/>
      </c>
      <c r="AK5" t="str" cm="1">
        <f t="array" ref="AK5">_xlfn.IFS(AC5&lt;&gt;"1", "", OR(AND(AC$1&lt;$E5-$D5, $E5-$D5&lt;AC$1+60), AND(AC$1&lt;$E5, $E5&lt;AC$1+60)), "×", TRUE, "")</f>
        <v/>
      </c>
      <c r="AL5" t="str" cm="1">
        <f t="array" ref="AL5">_xlfn.IFS(AD5&lt;&gt;"1", "", OR(AND(AD$1&lt;$E5-$D5, $E5-$D5&lt;AD$1+60), AND(AD$1&lt;$E5, $E5&lt;AD$1+60)), "×", TRUE, "")</f>
        <v/>
      </c>
      <c r="AM5" t="str" cm="1">
        <f t="array" ref="AM5">_xlfn.IFS(AE5&lt;&gt;"1", "", OR(AND(AE$1&lt;$E5-$D5, $E5-$D5&lt;AE$1+60), AND(AE$1&lt;$E5, $E5&lt;AE$1+60)), "×", TRUE, "")</f>
        <v/>
      </c>
    </row>
    <row r="6" spans="1:39">
      <c r="A6" s="5">
        <f t="shared" si="2"/>
        <v>0.42083333333333328</v>
      </c>
      <c r="B6" s="2" t="s">
        <v>33</v>
      </c>
      <c r="C6" s="6">
        <f t="shared" si="3"/>
        <v>0.43124999999999997</v>
      </c>
      <c r="D6" s="7">
        <v>15</v>
      </c>
      <c r="E6">
        <f t="shared" si="4"/>
        <v>81</v>
      </c>
      <c r="F6" t="s">
        <v>89</v>
      </c>
      <c r="G6" t="str">
        <f>IFERROR(INDEX(バンド!$A$1:$J$17,MATCH(タイムテーブル!$F6,バンド!$J$1:$J$17,0),2), "")</f>
        <v/>
      </c>
      <c r="H6" t="str">
        <f>IFERROR(INDEX(バンド!$A$1:$K$17,MATCH(タイムテーブル!$F6,バンド!$J$1:$J$17,0),11), "")</f>
        <v/>
      </c>
      <c r="I6" t="str">
        <f>IFERROR(INDEX(バンド!$A$1:$K$17,MATCH(タイムテーブル!$F6,バンド!$J$1:$J$17,0),11), "")</f>
        <v/>
      </c>
      <c r="J6" t="str">
        <f t="shared" si="0"/>
        <v/>
      </c>
      <c r="K6" t="str">
        <f t="shared" si="1"/>
        <v/>
      </c>
      <c r="L6" t="str" cm="1">
        <f t="array" ref="L6">IFERROR(INDEX(バンド!$A$1:$J$17,MATCH($G6,バンド!$B$1:$B$17,0),COLUMN(バンド!C$1))&amp;"", "")</f>
        <v/>
      </c>
      <c r="M6" t="str" cm="1">
        <f t="array" ref="M6">IFERROR(INDEX(バンド!$A$1:$J$17,MATCH($G6,バンド!$B$1:$B$17,0),COLUMN(バンド!D$1))&amp;"", "")</f>
        <v/>
      </c>
      <c r="N6" t="str" cm="1">
        <f t="array" ref="N6">IFERROR(INDEX(バンド!$A$1:$J$17,MATCH($G6,バンド!$B$1:$B$17,0),COLUMN(バンド!E$1))&amp;"", "")</f>
        <v/>
      </c>
      <c r="O6" t="str" cm="1">
        <f t="array" ref="O6">IFERROR(INDEX(バンド!$A$1:$J$17,MATCH($G6,バンド!$B$1:$B$17,0),COLUMN(バンド!F$1))&amp;"", "")</f>
        <v/>
      </c>
      <c r="P6" t="str" cm="1">
        <f t="array" ref="P6">IFERROR(INDEX(バンド!$A$1:$J$17,MATCH($G6,バンド!$B$1:$B$17,0),COLUMN(バンド!G$1))&amp;"", "")</f>
        <v/>
      </c>
      <c r="Q6" t="str" cm="1">
        <f t="array" ref="Q6">IFERROR(INDEX(バンド!$A$1:$J$17,MATCH($G6,バンド!$B$1:$B$17,0),COLUMN(バンド!H$1))&amp;"", "")</f>
        <v/>
      </c>
      <c r="R6" t="str" cm="1">
        <f t="array" ref="R6">_xlfn.IFS($I6="a", 0, L6="", "", TRUE, COUNTIF($L4:$Q4, L6))</f>
        <v/>
      </c>
      <c r="S6" t="str" cm="1">
        <f t="array" ref="S6">_xlfn.IFS($I6="a", 0, M6="", "", TRUE, COUNTIF($L4:$Q4, M6))</f>
        <v/>
      </c>
      <c r="T6" t="str" cm="1">
        <f t="array" ref="T6">_xlfn.IFS($I6="a", 0, N6="", "", TRUE, COUNTIF($L4:$Q4, N6))</f>
        <v/>
      </c>
      <c r="U6" t="str" cm="1">
        <f t="array" ref="U6">_xlfn.IFS($I6="a", 0, O6="", "", TRUE, COUNTIF($L4:$Q4, O6))</f>
        <v/>
      </c>
      <c r="V6" t="str" cm="1">
        <f t="array" ref="V6">_xlfn.IFS($I6="a", 0, P6="", "", TRUE, COUNTIF($L4:$Q4, P6))</f>
        <v/>
      </c>
      <c r="W6" t="str" cm="1">
        <f t="array" ref="W6">_xlfn.IFS($I6="a", 0, Q6="", "", TRUE, COUNTIF($L4:$Q4, Q6))</f>
        <v/>
      </c>
      <c r="X6" t="str" cm="1">
        <f t="array" ref="X6">IFERROR(INDEX(バンド!$A$1:$S$17,MATCH(タイムテーブル!$G6,バンド!$B$1:$B$17,0),COLUMN(バンド!L$1))&amp;"", "")</f>
        <v/>
      </c>
      <c r="Y6" t="str" cm="1">
        <f t="array" ref="Y6">IFERROR(INDEX(バンド!$A$1:$S$17,MATCH(タイムテーブル!$G6,バンド!$B$1:$B$17,0),COLUMN(バンド!M$1))&amp;"", "")</f>
        <v/>
      </c>
      <c r="Z6" t="str" cm="1">
        <f t="array" ref="Z6">IFERROR(INDEX(バンド!$A$1:$S$17,MATCH(タイムテーブル!$G6,バンド!$B$1:$B$17,0),COLUMN(バンド!N$1))&amp;"", "")</f>
        <v/>
      </c>
      <c r="AA6" t="str" cm="1">
        <f t="array" ref="AA6">IFERROR(INDEX(バンド!$A$1:$S$17,MATCH(タイムテーブル!$G6,バンド!$B$1:$B$17,0),COLUMN(バンド!O$1))&amp;"", "")</f>
        <v/>
      </c>
      <c r="AB6" t="str" cm="1">
        <f t="array" ref="AB6">IFERROR(INDEX(バンド!$A$1:$S$17,MATCH(タイムテーブル!$G6,バンド!$B$1:$B$17,0),COLUMN(バンド!P$1))&amp;"", "")</f>
        <v/>
      </c>
      <c r="AC6" t="str" cm="1">
        <f t="array" ref="AC6">IFERROR(INDEX(バンド!$A$1:$S$17,MATCH(タイムテーブル!$G6,バンド!$B$1:$B$17,0),COLUMN(バンド!Q$1))&amp;"", "")</f>
        <v/>
      </c>
      <c r="AD6" t="str" cm="1">
        <f t="array" ref="AD6">IFERROR(INDEX(バンド!$A$1:$S$17,MATCH(タイムテーブル!$G6,バンド!$B$1:$B$17,0),COLUMN(バンド!R$1))&amp;"", "")</f>
        <v/>
      </c>
      <c r="AE6" t="str" cm="1">
        <f t="array" ref="AE6">IFERROR(INDEX(バンド!$A$1:$S$17,MATCH(タイムテーブル!$G6,バンド!$B$1:$B$17,0),COLUMN(バンド!S$1))&amp;"", "")</f>
        <v/>
      </c>
      <c r="AF6" t="str" cm="1">
        <f t="array" ref="AF6">_xlfn.IFS(X6&lt;&gt;"1", "", OR(AND(X$1&lt;$E6-$D6, $E6-$D6&lt;X$1+60), AND(X$1&lt;$E6, $E6&lt;X$1+60)), "×", TRUE, "")</f>
        <v/>
      </c>
      <c r="AG6" t="str" cm="1">
        <f t="array" ref="AG6">_xlfn.IFS(Y6&lt;&gt;"1", "", OR(AND(Y$1&lt;$E6-$D6, $E6-$D6&lt;Y$1+60), AND(Y$1&lt;$E6, $E6&lt;Y$1+60)), "×", TRUE, "")</f>
        <v/>
      </c>
      <c r="AH6" t="str" cm="1">
        <f t="array" ref="AH6">_xlfn.IFS(Z6&lt;&gt;"1", "", OR(AND(Z$1&lt;$E6-$D6, $E6-$D6&lt;Z$1+60), AND(Z$1&lt;$E6, $E6&lt;Z$1+60)), "×", TRUE, "")</f>
        <v/>
      </c>
      <c r="AI6" t="str" cm="1">
        <f t="array" ref="AI6">_xlfn.IFS(AA6&lt;&gt;"1", "", OR(AND(AA$1&lt;$E6-$D6, $E6-$D6&lt;AA$1+60), AND(AA$1&lt;$E6, $E6&lt;AA$1+60)), "×", TRUE, "")</f>
        <v/>
      </c>
      <c r="AJ6" t="str" cm="1">
        <f t="array" ref="AJ6">_xlfn.IFS(AB6&lt;&gt;"1", "", OR(AND(AB$1&lt;$E6-$D6, $E6-$D6&lt;AB$1+60), AND(AB$1&lt;$E6, $E6&lt;AB$1+60)), "×", TRUE, "")</f>
        <v/>
      </c>
      <c r="AK6" t="str" cm="1">
        <f t="array" ref="AK6">_xlfn.IFS(AC6&lt;&gt;"1", "", OR(AND(AC$1&lt;$E6-$D6, $E6-$D6&lt;AC$1+60), AND(AC$1&lt;$E6, $E6&lt;AC$1+60)), "×", TRUE, "")</f>
        <v/>
      </c>
      <c r="AL6" t="str" cm="1">
        <f t="array" ref="AL6">_xlfn.IFS(AD6&lt;&gt;"1", "", OR(AND(AD$1&lt;$E6-$D6, $E6-$D6&lt;AD$1+60), AND(AD$1&lt;$E6, $E6&lt;AD$1+60)), "×", TRUE, "")</f>
        <v/>
      </c>
      <c r="AM6" t="str" cm="1">
        <f t="array" ref="AM6">_xlfn.IFS(AE6&lt;&gt;"1", "", OR(AND(AE$1&lt;$E6-$D6, $E6-$D6&lt;AE$1+60), AND(AE$1&lt;$E6, $E6&lt;AE$1+60)), "×", TRUE, "")</f>
        <v/>
      </c>
    </row>
    <row r="7" spans="1:39">
      <c r="A7" s="5">
        <f t="shared" si="2"/>
        <v>0.43124999999999997</v>
      </c>
      <c r="B7" s="2" t="s">
        <v>33</v>
      </c>
      <c r="C7" s="6">
        <f t="shared" si="3"/>
        <v>0.44305555555555554</v>
      </c>
      <c r="D7" s="7">
        <v>17</v>
      </c>
      <c r="E7">
        <f t="shared" si="4"/>
        <v>98</v>
      </c>
      <c r="F7">
        <v>1</v>
      </c>
      <c r="G7" t="s">
        <v>1</v>
      </c>
      <c r="H7">
        <f>IFERROR(INDEX(バンド!$A$1:$K$17,MATCH(タイムテーブル!$F7,バンド!$J$1:$J$17,0),11), "")</f>
        <v>0</v>
      </c>
      <c r="I7">
        <f>IFERROR(INDEX(バンド!$A$1:$K$17,MATCH(タイムテーブル!$F7,バンド!$J$1:$J$17,0),11), "")</f>
        <v>0</v>
      </c>
      <c r="J7">
        <f t="shared" si="0"/>
        <v>0</v>
      </c>
      <c r="K7">
        <f t="shared" si="1"/>
        <v>0</v>
      </c>
      <c r="L7" t="str" cm="1">
        <f t="array" ref="L7">IFERROR(INDEX(バンド!$A$1:$J$17,MATCH($G7,バンド!$B$1:$B$17,0),COLUMN(バンド!C$1))&amp;"", "")</f>
        <v>21もち</v>
      </c>
      <c r="M7" t="str" cm="1">
        <f t="array" ref="M7">IFERROR(INDEX(バンド!$A$1:$J$17,MATCH($G7,バンド!$B$1:$B$17,0),COLUMN(バンド!D$1))&amp;"", "")</f>
        <v>21ハク</v>
      </c>
      <c r="N7" t="str" cm="1">
        <f t="array" ref="N7">IFERROR(INDEX(バンド!$A$1:$J$17,MATCH($G7,バンド!$B$1:$B$17,0),COLUMN(バンド!E$1))&amp;"", "")</f>
        <v>21もろ</v>
      </c>
      <c r="O7" t="str" cm="1">
        <f t="array" ref="O7">IFERROR(INDEX(バンド!$A$1:$J$17,MATCH($G7,バンド!$B$1:$B$17,0),COLUMN(バンド!F$1))&amp;"", "")</f>
        <v>21もも</v>
      </c>
      <c r="P7" t="str" cm="1">
        <f t="array" ref="P7">IFERROR(INDEX(バンド!$A$1:$J$17,MATCH($G7,バンド!$B$1:$B$17,0),COLUMN(バンド!G$1))&amp;"", "")</f>
        <v>22なべ</v>
      </c>
      <c r="Q7" t="str" cm="1">
        <f t="array" ref="Q7">IFERROR(INDEX(バンド!$A$1:$J$17,MATCH($G7,バンド!$B$1:$B$17,0),COLUMN(バンド!H$1))&amp;"", "")</f>
        <v>22とくさん</v>
      </c>
      <c r="R7" cm="1">
        <f t="array" ref="R7">_xlfn.IFS($I7="a", 0, L7="", "", TRUE, COUNTIF($L5:$Q5, L7))</f>
        <v>0</v>
      </c>
      <c r="S7" cm="1">
        <f t="array" ref="S7">_xlfn.IFS($I7="a", 0, M7="", "", TRUE, COUNTIF($L5:$Q5, M7))</f>
        <v>0</v>
      </c>
      <c r="T7" cm="1">
        <f t="array" ref="T7">_xlfn.IFS($I7="a", 0, N7="", "", TRUE, COUNTIF($L5:$Q5, N7))</f>
        <v>0</v>
      </c>
      <c r="U7" cm="1">
        <f t="array" ref="U7">_xlfn.IFS($I7="a", 0, O7="", "", TRUE, COUNTIF($L5:$Q5, O7))</f>
        <v>0</v>
      </c>
      <c r="V7" cm="1">
        <f t="array" ref="V7">_xlfn.IFS($I7="a", 0, P7="", "", TRUE, COUNTIF($L5:$Q5, P7))</f>
        <v>0</v>
      </c>
      <c r="W7" cm="1">
        <f t="array" ref="W7">_xlfn.IFS($I7="a", 0, Q7="", "", TRUE, COUNTIF($L5:$Q5, Q7))</f>
        <v>0</v>
      </c>
      <c r="X7" t="str" cm="1">
        <f t="array" ref="X7">IFERROR(INDEX(バンド!$A$1:$S$17,MATCH(タイムテーブル!$G7,バンド!$B$1:$B$17,0),COLUMN(バンド!L$1))&amp;"", "")</f>
        <v>0</v>
      </c>
      <c r="Y7" t="str" cm="1">
        <f t="array" ref="Y7">IFERROR(INDEX(バンド!$A$1:$S$17,MATCH(タイムテーブル!$G7,バンド!$B$1:$B$17,0),COLUMN(バンド!M$1))&amp;"", "")</f>
        <v>0</v>
      </c>
      <c r="Z7" t="str" cm="1">
        <f t="array" ref="Z7">IFERROR(INDEX(バンド!$A$1:$S$17,MATCH(タイムテーブル!$G7,バンド!$B$1:$B$17,0),COLUMN(バンド!N$1))&amp;"", "")</f>
        <v>0</v>
      </c>
      <c r="AA7" t="str" cm="1">
        <f t="array" ref="AA7">IFERROR(INDEX(バンド!$A$1:$S$17,MATCH(タイムテーブル!$G7,バンド!$B$1:$B$17,0),COLUMN(バンド!O$1))&amp;"", "")</f>
        <v>0</v>
      </c>
      <c r="AB7" t="str" cm="1">
        <f t="array" ref="AB7">IFERROR(INDEX(バンド!$A$1:$S$17,MATCH(タイムテーブル!$G7,バンド!$B$1:$B$17,0),COLUMN(バンド!P$1))&amp;"", "")</f>
        <v>0</v>
      </c>
      <c r="AC7" t="str" cm="1">
        <f t="array" ref="AC7">IFERROR(INDEX(バンド!$A$1:$S$17,MATCH(タイムテーブル!$G7,バンド!$B$1:$B$17,0),COLUMN(バンド!Q$1))&amp;"", "")</f>
        <v>0</v>
      </c>
      <c r="AD7" t="str" cm="1">
        <f t="array" ref="AD7">IFERROR(INDEX(バンド!$A$1:$S$17,MATCH(タイムテーブル!$G7,バンド!$B$1:$B$17,0),COLUMN(バンド!R$1))&amp;"", "")</f>
        <v>0</v>
      </c>
      <c r="AE7" t="str" cm="1">
        <f t="array" ref="AE7">IFERROR(INDEX(バンド!$A$1:$S$17,MATCH(タイムテーブル!$G7,バンド!$B$1:$B$17,0),COLUMN(バンド!S$1))&amp;"", "")</f>
        <v>0</v>
      </c>
      <c r="AF7" t="str" cm="1">
        <f t="array" ref="AF7">_xlfn.IFS(X7&lt;&gt;"1", "", OR(AND(X$1&lt;$E7-$D7, $E7-$D7&lt;X$1+60), AND(X$1&lt;$E7, $E7&lt;X$1+60)), "×", TRUE, "")</f>
        <v/>
      </c>
      <c r="AG7" t="str" cm="1">
        <f t="array" ref="AG7">_xlfn.IFS(Y7&lt;&gt;"1", "", OR(AND(Y$1&lt;$E7-$D7, $E7-$D7&lt;Y$1+60), AND(Y$1&lt;$E7, $E7&lt;Y$1+60)), "×", TRUE, "")</f>
        <v/>
      </c>
      <c r="AH7" t="str" cm="1">
        <f t="array" ref="AH7">_xlfn.IFS(Z7&lt;&gt;"1", "", OR(AND(Z$1&lt;$E7-$D7, $E7-$D7&lt;Z$1+60), AND(Z$1&lt;$E7, $E7&lt;Z$1+60)), "×", TRUE, "")</f>
        <v/>
      </c>
      <c r="AI7" t="str" cm="1">
        <f t="array" ref="AI7">_xlfn.IFS(AA7&lt;&gt;"1", "", OR(AND(AA$1&lt;$E7-$D7, $E7-$D7&lt;AA$1+60), AND(AA$1&lt;$E7, $E7&lt;AA$1+60)), "×", TRUE, "")</f>
        <v/>
      </c>
      <c r="AJ7" t="str" cm="1">
        <f t="array" ref="AJ7">_xlfn.IFS(AB7&lt;&gt;"1", "", OR(AND(AB$1&lt;$E7-$D7, $E7-$D7&lt;AB$1+60), AND(AB$1&lt;$E7, $E7&lt;AB$1+60)), "×", TRUE, "")</f>
        <v/>
      </c>
      <c r="AK7" t="str" cm="1">
        <f t="array" ref="AK7">_xlfn.IFS(AC7&lt;&gt;"1", "", OR(AND(AC$1&lt;$E7-$D7, $E7-$D7&lt;AC$1+60), AND(AC$1&lt;$E7, $E7&lt;AC$1+60)), "×", TRUE, "")</f>
        <v/>
      </c>
      <c r="AL7" t="str" cm="1">
        <f t="array" ref="AL7">_xlfn.IFS(AD7&lt;&gt;"1", "", OR(AND(AD$1&lt;$E7-$D7, $E7-$D7&lt;AD$1+60), AND(AD$1&lt;$E7, $E7&lt;AD$1+60)), "×", TRUE, "")</f>
        <v/>
      </c>
      <c r="AM7" t="str" cm="1">
        <f t="array" ref="AM7">_xlfn.IFS(AE7&lt;&gt;"1", "", OR(AND(AE$1&lt;$E7-$D7, $E7-$D7&lt;AE$1+60), AND(AE$1&lt;$E7, $E7&lt;AE$1+60)), "×", TRUE, "")</f>
        <v/>
      </c>
    </row>
    <row r="8" spans="1:39">
      <c r="A8" s="5">
        <f t="shared" si="2"/>
        <v>0.44305555555555554</v>
      </c>
      <c r="B8" s="2" t="s">
        <v>33</v>
      </c>
      <c r="C8" s="6">
        <f t="shared" si="3"/>
        <v>0.44444444444444442</v>
      </c>
      <c r="D8" s="7">
        <v>2</v>
      </c>
      <c r="E8">
        <f t="shared" si="4"/>
        <v>100</v>
      </c>
      <c r="F8" t="s">
        <v>90</v>
      </c>
      <c r="H8" t="str">
        <f>IFERROR(INDEX(バンド!$A$1:$K$17,MATCH(タイムテーブル!$F8,バンド!$J$1:$J$17,0),11), "")</f>
        <v/>
      </c>
      <c r="I8" t="str">
        <f>IFERROR(INDEX(バンド!$A$1:$K$17,MATCH(タイムテーブル!$F8,バンド!$J$1:$J$17,0),11), "")</f>
        <v/>
      </c>
      <c r="J8" t="str">
        <f t="shared" si="0"/>
        <v/>
      </c>
      <c r="K8" t="str">
        <f t="shared" si="1"/>
        <v/>
      </c>
      <c r="L8" t="str" cm="1">
        <f t="array" ref="L8">IFERROR(INDEX(バンド!$A$1:$J$17,MATCH($G8,バンド!$B$1:$B$17,0),COLUMN(バンド!C$1))&amp;"", "")</f>
        <v/>
      </c>
      <c r="M8" t="str" cm="1">
        <f t="array" ref="M8">IFERROR(INDEX(バンド!$A$1:$J$17,MATCH($G8,バンド!$B$1:$B$17,0),COLUMN(バンド!D$1))&amp;"", "")</f>
        <v/>
      </c>
      <c r="N8" t="str" cm="1">
        <f t="array" ref="N8">IFERROR(INDEX(バンド!$A$1:$J$17,MATCH($G8,バンド!$B$1:$B$17,0),COLUMN(バンド!E$1))&amp;"", "")</f>
        <v/>
      </c>
      <c r="O8" t="str" cm="1">
        <f t="array" ref="O8">IFERROR(INDEX(バンド!$A$1:$J$17,MATCH($G8,バンド!$B$1:$B$17,0),COLUMN(バンド!F$1))&amp;"", "")</f>
        <v/>
      </c>
      <c r="P8" t="str" cm="1">
        <f t="array" ref="P8">IFERROR(INDEX(バンド!$A$1:$J$17,MATCH($G8,バンド!$B$1:$B$17,0),COLUMN(バンド!G$1))&amp;"", "")</f>
        <v/>
      </c>
      <c r="Q8" t="str" cm="1">
        <f t="array" ref="Q8">IFERROR(INDEX(バンド!$A$1:$J$17,MATCH($G8,バンド!$B$1:$B$17,0),COLUMN(バンド!H$1))&amp;"", "")</f>
        <v/>
      </c>
      <c r="R8" t="str" cm="1">
        <f t="array" ref="R8">_xlfn.IFS($I8="a", 0, L8="", "", TRUE, COUNTIF($L6:$Q6, L8))</f>
        <v/>
      </c>
      <c r="S8" t="str" cm="1">
        <f t="array" ref="S8">_xlfn.IFS($I8="a", 0, M8="", "", TRUE, COUNTIF($L6:$Q6, M8))</f>
        <v/>
      </c>
      <c r="T8" t="str" cm="1">
        <f t="array" ref="T8">_xlfn.IFS($I8="a", 0, N8="", "", TRUE, COUNTIF($L6:$Q6, N8))</f>
        <v/>
      </c>
      <c r="U8" t="str" cm="1">
        <f t="array" ref="U8">_xlfn.IFS($I8="a", 0, O8="", "", TRUE, COUNTIF($L6:$Q6, O8))</f>
        <v/>
      </c>
      <c r="V8" t="str" cm="1">
        <f t="array" ref="V8">_xlfn.IFS($I8="a", 0, P8="", "", TRUE, COUNTIF($L6:$Q6, P8))</f>
        <v/>
      </c>
      <c r="W8" t="str" cm="1">
        <f t="array" ref="W8">_xlfn.IFS($I8="a", 0, Q8="", "", TRUE, COUNTIF($L6:$Q6, Q8))</f>
        <v/>
      </c>
      <c r="X8" t="str" cm="1">
        <f t="array" ref="X8">IFERROR(INDEX(バンド!$A$1:$S$17,MATCH(タイムテーブル!$G8,バンド!$B$1:$B$17,0),COLUMN(バンド!L$1))&amp;"", "")</f>
        <v/>
      </c>
      <c r="Y8" t="str" cm="1">
        <f t="array" ref="Y8">IFERROR(INDEX(バンド!$A$1:$S$17,MATCH(タイムテーブル!$G8,バンド!$B$1:$B$17,0),COLUMN(バンド!M$1))&amp;"", "")</f>
        <v/>
      </c>
      <c r="Z8" t="str" cm="1">
        <f t="array" ref="Z8">IFERROR(INDEX(バンド!$A$1:$S$17,MATCH(タイムテーブル!$G8,バンド!$B$1:$B$17,0),COLUMN(バンド!N$1))&amp;"", "")</f>
        <v/>
      </c>
      <c r="AA8" t="str" cm="1">
        <f t="array" ref="AA8">IFERROR(INDEX(バンド!$A$1:$S$17,MATCH(タイムテーブル!$G8,バンド!$B$1:$B$17,0),COLUMN(バンド!O$1))&amp;"", "")</f>
        <v/>
      </c>
      <c r="AB8" t="str" cm="1">
        <f t="array" ref="AB8">IFERROR(INDEX(バンド!$A$1:$S$17,MATCH(タイムテーブル!$G8,バンド!$B$1:$B$17,0),COLUMN(バンド!P$1))&amp;"", "")</f>
        <v/>
      </c>
      <c r="AC8" t="str" cm="1">
        <f t="array" ref="AC8">IFERROR(INDEX(バンド!$A$1:$S$17,MATCH(タイムテーブル!$G8,バンド!$B$1:$B$17,0),COLUMN(バンド!Q$1))&amp;"", "")</f>
        <v/>
      </c>
      <c r="AD8" t="str" cm="1">
        <f t="array" ref="AD8">IFERROR(INDEX(バンド!$A$1:$S$17,MATCH(タイムテーブル!$G8,バンド!$B$1:$B$17,0),COLUMN(バンド!R$1))&amp;"", "")</f>
        <v/>
      </c>
      <c r="AE8" t="str" cm="1">
        <f t="array" ref="AE8">IFERROR(INDEX(バンド!$A$1:$S$17,MATCH(タイムテーブル!$G8,バンド!$B$1:$B$17,0),COLUMN(バンド!S$1))&amp;"", "")</f>
        <v/>
      </c>
      <c r="AF8" t="str" cm="1">
        <f t="array" ref="AF8">_xlfn.IFS(X8&lt;&gt;"1", "", OR(AND(X$1&lt;$E8-$D8, $E8-$D8&lt;X$1+60), AND(X$1&lt;$E8, $E8&lt;X$1+60)), "×", TRUE, "")</f>
        <v/>
      </c>
      <c r="AG8" t="str" cm="1">
        <f t="array" ref="AG8">_xlfn.IFS(Y8&lt;&gt;"1", "", OR(AND(Y$1&lt;$E8-$D8, $E8-$D8&lt;Y$1+60), AND(Y$1&lt;$E8, $E8&lt;Y$1+60)), "×", TRUE, "")</f>
        <v/>
      </c>
      <c r="AH8" t="str" cm="1">
        <f t="array" ref="AH8">_xlfn.IFS(Z8&lt;&gt;"1", "", OR(AND(Z$1&lt;$E8-$D8, $E8-$D8&lt;Z$1+60), AND(Z$1&lt;$E8, $E8&lt;Z$1+60)), "×", TRUE, "")</f>
        <v/>
      </c>
      <c r="AI8" t="str" cm="1">
        <f t="array" ref="AI8">_xlfn.IFS(AA8&lt;&gt;"1", "", OR(AND(AA$1&lt;$E8-$D8, $E8-$D8&lt;AA$1+60), AND(AA$1&lt;$E8, $E8&lt;AA$1+60)), "×", TRUE, "")</f>
        <v/>
      </c>
      <c r="AJ8" t="str" cm="1">
        <f t="array" ref="AJ8">_xlfn.IFS(AB8&lt;&gt;"1", "", OR(AND(AB$1&lt;$E8-$D8, $E8-$D8&lt;AB$1+60), AND(AB$1&lt;$E8, $E8&lt;AB$1+60)), "×", TRUE, "")</f>
        <v/>
      </c>
      <c r="AK8" t="str" cm="1">
        <f t="array" ref="AK8">_xlfn.IFS(AC8&lt;&gt;"1", "", OR(AND(AC$1&lt;$E8-$D8, $E8-$D8&lt;AC$1+60), AND(AC$1&lt;$E8, $E8&lt;AC$1+60)), "×", TRUE, "")</f>
        <v/>
      </c>
      <c r="AL8" t="str" cm="1">
        <f t="array" ref="AL8">_xlfn.IFS(AD8&lt;&gt;"1", "", OR(AND(AD$1&lt;$E8-$D8, $E8-$D8&lt;AD$1+60), AND(AD$1&lt;$E8, $E8&lt;AD$1+60)), "×", TRUE, "")</f>
        <v/>
      </c>
      <c r="AM8" t="str" cm="1">
        <f t="array" ref="AM8">_xlfn.IFS(AE8&lt;&gt;"1", "", OR(AND(AE$1&lt;$E8-$D8, $E8-$D8&lt;AE$1+60), AND(AE$1&lt;$E8, $E8&lt;AE$1+60)), "×", TRUE, "")</f>
        <v/>
      </c>
    </row>
    <row r="9" spans="1:39">
      <c r="A9" s="5">
        <f t="shared" si="2"/>
        <v>0.44444444444444442</v>
      </c>
      <c r="B9" s="2" t="s">
        <v>33</v>
      </c>
      <c r="C9" s="6">
        <f t="shared" si="3"/>
        <v>0.45624999999999999</v>
      </c>
      <c r="D9" s="7">
        <v>17</v>
      </c>
      <c r="E9">
        <f t="shared" si="4"/>
        <v>117</v>
      </c>
      <c r="F9">
        <v>2</v>
      </c>
      <c r="G9" t="s">
        <v>81</v>
      </c>
      <c r="H9">
        <f>IFERROR(INDEX(バンド!$A$1:$K$17,MATCH(タイムテーブル!$F9,バンド!$J$1:$J$17,0),11), "")</f>
        <v>0</v>
      </c>
      <c r="I9">
        <f>IFERROR(INDEX(バンド!$A$1:$K$17,MATCH(タイムテーブル!$F9,バンド!$J$1:$J$17,0),11), "")</f>
        <v>0</v>
      </c>
      <c r="J9">
        <f t="shared" si="0"/>
        <v>0</v>
      </c>
      <c r="K9">
        <f t="shared" si="1"/>
        <v>0</v>
      </c>
      <c r="L9" t="str" cm="1">
        <f t="array" ref="L9">IFERROR(INDEX(バンド!$A$1:$J$17,MATCH($G9,バンド!$B$1:$B$17,0),COLUMN(バンド!C$1))&amp;"", "")</f>
        <v>21しゃんしゃん</v>
      </c>
      <c r="M9" t="str" cm="1">
        <f t="array" ref="M9">IFERROR(INDEX(バンド!$A$1:$J$17,MATCH($G9,バンド!$B$1:$B$17,0),COLUMN(バンド!D$1))&amp;"", "")</f>
        <v>22いっせい</v>
      </c>
      <c r="N9" t="str" cm="1">
        <f t="array" ref="N9">IFERROR(INDEX(バンド!$A$1:$J$17,MATCH($G9,バンド!$B$1:$B$17,0),COLUMN(バンド!E$1))&amp;"", "")</f>
        <v>22rion</v>
      </c>
      <c r="O9" t="str" cm="1">
        <f t="array" ref="O9">IFERROR(INDEX(バンド!$A$1:$J$17,MATCH($G9,バンド!$B$1:$B$17,0),COLUMN(バンド!F$1))&amp;"", "")</f>
        <v>23つかでぃー</v>
      </c>
      <c r="P9" t="str" cm="1">
        <f t="array" ref="P9">IFERROR(INDEX(バンド!$A$1:$J$17,MATCH($G9,バンド!$B$1:$B$17,0),COLUMN(バンド!G$1))&amp;"", "")</f>
        <v>23ちかぜ</v>
      </c>
      <c r="Q9" t="str" cm="1">
        <f t="array" ref="Q9">IFERROR(INDEX(バンド!$A$1:$J$17,MATCH($G9,バンド!$B$1:$B$17,0),COLUMN(バンド!H$1))&amp;"", "")</f>
        <v>23みく</v>
      </c>
      <c r="R9" cm="1">
        <f t="array" ref="R9">_xlfn.IFS($I9="a", 0, L9="", "", TRUE, COUNTIF($L7:$Q7, L9))</f>
        <v>0</v>
      </c>
      <c r="S9" cm="1">
        <f t="array" ref="S9">_xlfn.IFS($I9="a", 0, M9="", "", TRUE, COUNTIF($L7:$Q7, M9))</f>
        <v>0</v>
      </c>
      <c r="T9" cm="1">
        <f t="array" ref="T9">_xlfn.IFS($I9="a", 0, N9="", "", TRUE, COUNTIF($L7:$Q7, N9))</f>
        <v>0</v>
      </c>
      <c r="U9" cm="1">
        <f t="array" ref="U9">_xlfn.IFS($I9="a", 0, O9="", "", TRUE, COUNTIF($L7:$Q7, O9))</f>
        <v>0</v>
      </c>
      <c r="V9" cm="1">
        <f t="array" ref="V9">_xlfn.IFS($I9="a", 0, P9="", "", TRUE, COUNTIF($L7:$Q7, P9))</f>
        <v>0</v>
      </c>
      <c r="W9" cm="1">
        <f t="array" ref="W9">_xlfn.IFS($I9="a", 0, Q9="", "", TRUE, COUNTIF($L7:$Q7, Q9))</f>
        <v>0</v>
      </c>
      <c r="X9" t="str" cm="1">
        <f t="array" ref="X9">IFERROR(INDEX(バンド!$A$1:$S$17,MATCH(タイムテーブル!$G9,バンド!$B$1:$B$17,0),COLUMN(バンド!L$1))&amp;"", "")</f>
        <v>0</v>
      </c>
      <c r="Y9" t="str" cm="1">
        <f t="array" ref="Y9">IFERROR(INDEX(バンド!$A$1:$S$17,MATCH(タイムテーブル!$G9,バンド!$B$1:$B$17,0),COLUMN(バンド!M$1))&amp;"", "")</f>
        <v>0</v>
      </c>
      <c r="Z9" t="str" cm="1">
        <f t="array" ref="Z9">IFERROR(INDEX(バンド!$A$1:$S$17,MATCH(タイムテーブル!$G9,バンド!$B$1:$B$17,0),COLUMN(バンド!N$1))&amp;"", "")</f>
        <v>0</v>
      </c>
      <c r="AA9" t="str" cm="1">
        <f t="array" ref="AA9">IFERROR(INDEX(バンド!$A$1:$S$17,MATCH(タイムテーブル!$G9,バンド!$B$1:$B$17,0),COLUMN(バンド!O$1))&amp;"", "")</f>
        <v>0</v>
      </c>
      <c r="AB9" t="str" cm="1">
        <f t="array" ref="AB9">IFERROR(INDEX(バンド!$A$1:$S$17,MATCH(タイムテーブル!$G9,バンド!$B$1:$B$17,0),COLUMN(バンド!P$1))&amp;"", "")</f>
        <v>0</v>
      </c>
      <c r="AC9" t="str" cm="1">
        <f t="array" ref="AC9">IFERROR(INDEX(バンド!$A$1:$S$17,MATCH(タイムテーブル!$G9,バンド!$B$1:$B$17,0),COLUMN(バンド!Q$1))&amp;"", "")</f>
        <v>0</v>
      </c>
      <c r="AD9" t="str" cm="1">
        <f t="array" ref="AD9">IFERROR(INDEX(バンド!$A$1:$S$17,MATCH(タイムテーブル!$G9,バンド!$B$1:$B$17,0),COLUMN(バンド!R$1))&amp;"", "")</f>
        <v>0</v>
      </c>
      <c r="AE9" t="str" cm="1">
        <f t="array" ref="AE9">IFERROR(INDEX(バンド!$A$1:$S$17,MATCH(タイムテーブル!$G9,バンド!$B$1:$B$17,0),COLUMN(バンド!S$1))&amp;"", "")</f>
        <v>0</v>
      </c>
      <c r="AF9" t="str" cm="1">
        <f t="array" ref="AF9">_xlfn.IFS(X9&lt;&gt;"1", "", OR(AND(X$1&lt;$E9-$D9, $E9-$D9&lt;X$1+60), AND(X$1&lt;$E9, $E9&lt;X$1+60)), "×", TRUE, "")</f>
        <v/>
      </c>
      <c r="AG9" t="str" cm="1">
        <f t="array" ref="AG9">_xlfn.IFS(Y9&lt;&gt;"1", "", OR(AND(Y$1&lt;$E9-$D9, $E9-$D9&lt;Y$1+60), AND(Y$1&lt;$E9, $E9&lt;Y$1+60)), "×", TRUE, "")</f>
        <v/>
      </c>
      <c r="AH9" t="str" cm="1">
        <f t="array" ref="AH9">_xlfn.IFS(Z9&lt;&gt;"1", "", OR(AND(Z$1&lt;$E9-$D9, $E9-$D9&lt;Z$1+60), AND(Z$1&lt;$E9, $E9&lt;Z$1+60)), "×", TRUE, "")</f>
        <v/>
      </c>
      <c r="AI9" t="str" cm="1">
        <f t="array" ref="AI9">_xlfn.IFS(AA9&lt;&gt;"1", "", OR(AND(AA$1&lt;$E9-$D9, $E9-$D9&lt;AA$1+60), AND(AA$1&lt;$E9, $E9&lt;AA$1+60)), "×", TRUE, "")</f>
        <v/>
      </c>
      <c r="AJ9" t="str" cm="1">
        <f t="array" ref="AJ9">_xlfn.IFS(AB9&lt;&gt;"1", "", OR(AND(AB$1&lt;$E9-$D9, $E9-$D9&lt;AB$1+60), AND(AB$1&lt;$E9, $E9&lt;AB$1+60)), "×", TRUE, "")</f>
        <v/>
      </c>
      <c r="AK9" t="str" cm="1">
        <f t="array" ref="AK9">_xlfn.IFS(AC9&lt;&gt;"1", "", OR(AND(AC$1&lt;$E9-$D9, $E9-$D9&lt;AC$1+60), AND(AC$1&lt;$E9, $E9&lt;AC$1+60)), "×", TRUE, "")</f>
        <v/>
      </c>
      <c r="AL9" t="str" cm="1">
        <f t="array" ref="AL9">_xlfn.IFS(AD9&lt;&gt;"1", "", OR(AND(AD$1&lt;$E9-$D9, $E9-$D9&lt;AD$1+60), AND(AD$1&lt;$E9, $E9&lt;AD$1+60)), "×", TRUE, "")</f>
        <v/>
      </c>
      <c r="AM9" t="str" cm="1">
        <f t="array" ref="AM9">_xlfn.IFS(AE9&lt;&gt;"1", "", OR(AND(AE$1&lt;$E9-$D9, $E9-$D9&lt;AE$1+60), AND(AE$1&lt;$E9, $E9&lt;AE$1+60)), "×", TRUE, "")</f>
        <v/>
      </c>
    </row>
    <row r="10" spans="1:39">
      <c r="A10" s="5">
        <f t="shared" si="2"/>
        <v>0.45624999999999999</v>
      </c>
      <c r="B10" s="2" t="s">
        <v>33</v>
      </c>
      <c r="C10" s="6">
        <f t="shared" si="3"/>
        <v>0.45763888888888887</v>
      </c>
      <c r="D10" s="7">
        <v>2</v>
      </c>
      <c r="E10">
        <f t="shared" si="4"/>
        <v>119</v>
      </c>
      <c r="F10" t="s">
        <v>90</v>
      </c>
      <c r="H10" t="str">
        <f>IFERROR(INDEX(バンド!$A$1:$K$17,MATCH(タイムテーブル!$F10,バンド!$J$1:$J$17,0),11), "")</f>
        <v/>
      </c>
      <c r="I10" t="str">
        <f>IFERROR(INDEX(バンド!$A$1:$K$17,MATCH(タイムテーブル!$F10,バンド!$J$1:$J$17,0),11), "")</f>
        <v/>
      </c>
      <c r="J10" t="str">
        <f t="shared" si="0"/>
        <v/>
      </c>
      <c r="K10" t="str">
        <f t="shared" si="1"/>
        <v/>
      </c>
      <c r="L10" t="str" cm="1">
        <f t="array" ref="L10">IFERROR(INDEX(バンド!$A$1:$J$17,MATCH($G10,バンド!$B$1:$B$17,0),COLUMN(バンド!C$1))&amp;"", "")</f>
        <v/>
      </c>
      <c r="M10" t="str" cm="1">
        <f t="array" ref="M10">IFERROR(INDEX(バンド!$A$1:$J$17,MATCH($G10,バンド!$B$1:$B$17,0),COLUMN(バンド!D$1))&amp;"", "")</f>
        <v/>
      </c>
      <c r="N10" t="str" cm="1">
        <f t="array" ref="N10">IFERROR(INDEX(バンド!$A$1:$J$17,MATCH($G10,バンド!$B$1:$B$17,0),COLUMN(バンド!E$1))&amp;"", "")</f>
        <v/>
      </c>
      <c r="O10" t="str" cm="1">
        <f t="array" ref="O10">IFERROR(INDEX(バンド!$A$1:$J$17,MATCH($G10,バンド!$B$1:$B$17,0),COLUMN(バンド!F$1))&amp;"", "")</f>
        <v/>
      </c>
      <c r="P10" t="str" cm="1">
        <f t="array" ref="P10">IFERROR(INDEX(バンド!$A$1:$J$17,MATCH($G10,バンド!$B$1:$B$17,0),COLUMN(バンド!G$1))&amp;"", "")</f>
        <v/>
      </c>
      <c r="Q10" t="str" cm="1">
        <f t="array" ref="Q10">IFERROR(INDEX(バンド!$A$1:$J$17,MATCH($G10,バンド!$B$1:$B$17,0),COLUMN(バンド!H$1))&amp;"", "")</f>
        <v/>
      </c>
      <c r="R10" t="str" cm="1">
        <f t="array" ref="R10">_xlfn.IFS($I10="a", 0, L10="", "", TRUE, COUNTIF($L8:$Q8, L10))</f>
        <v/>
      </c>
      <c r="S10" t="str" cm="1">
        <f t="array" ref="S10">_xlfn.IFS($I10="a", 0, M10="", "", TRUE, COUNTIF($L8:$Q8, M10))</f>
        <v/>
      </c>
      <c r="T10" t="str" cm="1">
        <f t="array" ref="T10">_xlfn.IFS($I10="a", 0, N10="", "", TRUE, COUNTIF($L8:$Q8, N10))</f>
        <v/>
      </c>
      <c r="U10" t="str" cm="1">
        <f t="array" ref="U10">_xlfn.IFS($I10="a", 0, O10="", "", TRUE, COUNTIF($L8:$Q8, O10))</f>
        <v/>
      </c>
      <c r="V10" t="str" cm="1">
        <f t="array" ref="V10">_xlfn.IFS($I10="a", 0, P10="", "", TRUE, COUNTIF($L8:$Q8, P10))</f>
        <v/>
      </c>
      <c r="W10" t="str" cm="1">
        <f t="array" ref="W10">_xlfn.IFS($I10="a", 0, Q10="", "", TRUE, COUNTIF($L8:$Q8, Q10))</f>
        <v/>
      </c>
      <c r="X10" t="str" cm="1">
        <f t="array" ref="X10">IFERROR(INDEX(バンド!$A$1:$S$17,MATCH(タイムテーブル!$G10,バンド!$B$1:$B$17,0),COLUMN(バンド!L$1))&amp;"", "")</f>
        <v/>
      </c>
      <c r="Y10" t="str" cm="1">
        <f t="array" ref="Y10">IFERROR(INDEX(バンド!$A$1:$S$17,MATCH(タイムテーブル!$G10,バンド!$B$1:$B$17,0),COLUMN(バンド!M$1))&amp;"", "")</f>
        <v/>
      </c>
      <c r="Z10" t="str" cm="1">
        <f t="array" ref="Z10">IFERROR(INDEX(バンド!$A$1:$S$17,MATCH(タイムテーブル!$G10,バンド!$B$1:$B$17,0),COLUMN(バンド!N$1))&amp;"", "")</f>
        <v/>
      </c>
      <c r="AA10" t="str" cm="1">
        <f t="array" ref="AA10">IFERROR(INDEX(バンド!$A$1:$S$17,MATCH(タイムテーブル!$G10,バンド!$B$1:$B$17,0),COLUMN(バンド!O$1))&amp;"", "")</f>
        <v/>
      </c>
      <c r="AB10" t="str" cm="1">
        <f t="array" ref="AB10">IFERROR(INDEX(バンド!$A$1:$S$17,MATCH(タイムテーブル!$G10,バンド!$B$1:$B$17,0),COLUMN(バンド!P$1))&amp;"", "")</f>
        <v/>
      </c>
      <c r="AC10" t="str" cm="1">
        <f t="array" ref="AC10">IFERROR(INDEX(バンド!$A$1:$S$17,MATCH(タイムテーブル!$G10,バンド!$B$1:$B$17,0),COLUMN(バンド!Q$1))&amp;"", "")</f>
        <v/>
      </c>
      <c r="AD10" t="str" cm="1">
        <f t="array" ref="AD10">IFERROR(INDEX(バンド!$A$1:$S$17,MATCH(タイムテーブル!$G10,バンド!$B$1:$B$17,0),COLUMN(バンド!R$1))&amp;"", "")</f>
        <v/>
      </c>
      <c r="AE10" t="str" cm="1">
        <f t="array" ref="AE10">IFERROR(INDEX(バンド!$A$1:$S$17,MATCH(タイムテーブル!$G10,バンド!$B$1:$B$17,0),COLUMN(バンド!S$1))&amp;"", "")</f>
        <v/>
      </c>
      <c r="AF10" t="str" cm="1">
        <f t="array" ref="AF10">_xlfn.IFS(X10&lt;&gt;"1", "", OR(AND(X$1&lt;$E10-$D10, $E10-$D10&lt;X$1+60), AND(X$1&lt;$E10, $E10&lt;X$1+60)), "×", TRUE, "")</f>
        <v/>
      </c>
      <c r="AG10" t="str" cm="1">
        <f t="array" ref="AG10">_xlfn.IFS(Y10&lt;&gt;"1", "", OR(AND(Y$1&lt;$E10-$D10, $E10-$D10&lt;Y$1+60), AND(Y$1&lt;$E10, $E10&lt;Y$1+60)), "×", TRUE, "")</f>
        <v/>
      </c>
      <c r="AH10" t="str" cm="1">
        <f t="array" ref="AH10">_xlfn.IFS(Z10&lt;&gt;"1", "", OR(AND(Z$1&lt;$E10-$D10, $E10-$D10&lt;Z$1+60), AND(Z$1&lt;$E10, $E10&lt;Z$1+60)), "×", TRUE, "")</f>
        <v/>
      </c>
      <c r="AI10" t="str" cm="1">
        <f t="array" ref="AI10">_xlfn.IFS(AA10&lt;&gt;"1", "", OR(AND(AA$1&lt;$E10-$D10, $E10-$D10&lt;AA$1+60), AND(AA$1&lt;$E10, $E10&lt;AA$1+60)), "×", TRUE, "")</f>
        <v/>
      </c>
      <c r="AJ10" t="str" cm="1">
        <f t="array" ref="AJ10">_xlfn.IFS(AB10&lt;&gt;"1", "", OR(AND(AB$1&lt;$E10-$D10, $E10-$D10&lt;AB$1+60), AND(AB$1&lt;$E10, $E10&lt;AB$1+60)), "×", TRUE, "")</f>
        <v/>
      </c>
      <c r="AK10" t="str" cm="1">
        <f t="array" ref="AK10">_xlfn.IFS(AC10&lt;&gt;"1", "", OR(AND(AC$1&lt;$E10-$D10, $E10-$D10&lt;AC$1+60), AND(AC$1&lt;$E10, $E10&lt;AC$1+60)), "×", TRUE, "")</f>
        <v/>
      </c>
      <c r="AL10" t="str" cm="1">
        <f t="array" ref="AL10">_xlfn.IFS(AD10&lt;&gt;"1", "", OR(AND(AD$1&lt;$E10-$D10, $E10-$D10&lt;AD$1+60), AND(AD$1&lt;$E10, $E10&lt;AD$1+60)), "×", TRUE, "")</f>
        <v/>
      </c>
      <c r="AM10" t="str" cm="1">
        <f t="array" ref="AM10">_xlfn.IFS(AE10&lt;&gt;"1", "", OR(AND(AE$1&lt;$E10-$D10, $E10-$D10&lt;AE$1+60), AND(AE$1&lt;$E10, $E10&lt;AE$1+60)), "×", TRUE, "")</f>
        <v/>
      </c>
    </row>
    <row r="11" spans="1:39">
      <c r="A11" s="5">
        <f t="shared" si="2"/>
        <v>0.45763888888888887</v>
      </c>
      <c r="B11" s="2" t="s">
        <v>33</v>
      </c>
      <c r="C11" s="6">
        <f t="shared" si="3"/>
        <v>0.46944444444444444</v>
      </c>
      <c r="D11" s="7">
        <v>17</v>
      </c>
      <c r="E11">
        <f t="shared" si="4"/>
        <v>136</v>
      </c>
      <c r="F11">
        <v>3</v>
      </c>
      <c r="G11" t="s">
        <v>39</v>
      </c>
      <c r="H11">
        <f>IFERROR(INDEX(バンド!$A$1:$K$17,MATCH(タイムテーブル!$F11,バンド!$J$1:$J$17,0),11), "")</f>
        <v>0</v>
      </c>
      <c r="I11">
        <f>IFERROR(INDEX(バンド!$A$1:$K$17,MATCH(タイムテーブル!$F11,バンド!$J$1:$J$17,0),11), "")</f>
        <v>0</v>
      </c>
      <c r="J11">
        <f t="shared" si="0"/>
        <v>0</v>
      </c>
      <c r="K11">
        <f t="shared" si="1"/>
        <v>0</v>
      </c>
      <c r="L11" t="str" cm="1">
        <f t="array" ref="L11">IFERROR(INDEX(バンド!$A$1:$J$17,MATCH($G11,バンド!$B$1:$B$17,0),COLUMN(バンド!C$1))&amp;"", "")</f>
        <v>21もち</v>
      </c>
      <c r="M11" t="str" cm="1">
        <f t="array" ref="M11">IFERROR(INDEX(バンド!$A$1:$J$17,MATCH($G11,バンド!$B$1:$B$17,0),COLUMN(バンド!D$1))&amp;"", "")</f>
        <v>21よし</v>
      </c>
      <c r="N11" t="str" cm="1">
        <f t="array" ref="N11">IFERROR(INDEX(バンド!$A$1:$J$17,MATCH($G11,バンド!$B$1:$B$17,0),COLUMN(バンド!E$1))&amp;"", "")</f>
        <v>22mol</v>
      </c>
      <c r="O11" t="str" cm="1">
        <f t="array" ref="O11">IFERROR(INDEX(バンド!$A$1:$J$17,MATCH($G11,バンド!$B$1:$B$17,0),COLUMN(バンド!F$1))&amp;"", "")</f>
        <v>22よしもち</v>
      </c>
      <c r="P11" t="str" cm="1">
        <f t="array" ref="P11">IFERROR(INDEX(バンド!$A$1:$J$17,MATCH($G11,バンド!$B$1:$B$17,0),COLUMN(バンド!G$1))&amp;"", "")</f>
        <v>22とくさん</v>
      </c>
      <c r="Q11" t="str" cm="1">
        <f t="array" ref="Q11">IFERROR(INDEX(バンド!$A$1:$J$17,MATCH($G11,バンド!$B$1:$B$17,0),COLUMN(バンド!H$1))&amp;"", "")</f>
        <v>22hiroki</v>
      </c>
      <c r="R11" cm="1">
        <f t="array" ref="R11">_xlfn.IFS($I11="a", 0, L11="", "", TRUE, COUNTIF($L9:$Q9, L11))</f>
        <v>0</v>
      </c>
      <c r="S11" cm="1">
        <f t="array" ref="S11">_xlfn.IFS($I11="a", 0, M11="", "", TRUE, COUNTIF($L9:$Q9, M11))</f>
        <v>0</v>
      </c>
      <c r="T11" cm="1">
        <f t="array" ref="T11">_xlfn.IFS($I11="a", 0, N11="", "", TRUE, COUNTIF($L9:$Q9, N11))</f>
        <v>0</v>
      </c>
      <c r="U11" cm="1">
        <f t="array" ref="U11">_xlfn.IFS($I11="a", 0, O11="", "", TRUE, COUNTIF($L9:$Q9, O11))</f>
        <v>0</v>
      </c>
      <c r="V11" cm="1">
        <f t="array" ref="V11">_xlfn.IFS($I11="a", 0, P11="", "", TRUE, COUNTIF($L9:$Q9, P11))</f>
        <v>0</v>
      </c>
      <c r="W11" cm="1">
        <f t="array" ref="W11">_xlfn.IFS($I11="a", 0, Q11="", "", TRUE, COUNTIF($L9:$Q9, Q11))</f>
        <v>0</v>
      </c>
      <c r="X11" t="str" cm="1">
        <f t="array" ref="X11">IFERROR(INDEX(バンド!$A$1:$S$17,MATCH(タイムテーブル!$G11,バンド!$B$1:$B$17,0),COLUMN(バンド!L$1))&amp;"", "")</f>
        <v>0</v>
      </c>
      <c r="Y11" t="str" cm="1">
        <f t="array" ref="Y11">IFERROR(INDEX(バンド!$A$1:$S$17,MATCH(タイムテーブル!$G11,バンド!$B$1:$B$17,0),COLUMN(バンド!M$1))&amp;"", "")</f>
        <v>0</v>
      </c>
      <c r="Z11" t="str" cm="1">
        <f t="array" ref="Z11">IFERROR(INDEX(バンド!$A$1:$S$17,MATCH(タイムテーブル!$G11,バンド!$B$1:$B$17,0),COLUMN(バンド!N$1))&amp;"", "")</f>
        <v>0</v>
      </c>
      <c r="AA11" t="str" cm="1">
        <f t="array" ref="AA11">IFERROR(INDEX(バンド!$A$1:$S$17,MATCH(タイムテーブル!$G11,バンド!$B$1:$B$17,0),COLUMN(バンド!O$1))&amp;"", "")</f>
        <v>0</v>
      </c>
      <c r="AB11" t="str" cm="1">
        <f t="array" ref="AB11">IFERROR(INDEX(バンド!$A$1:$S$17,MATCH(タイムテーブル!$G11,バンド!$B$1:$B$17,0),COLUMN(バンド!P$1))&amp;"", "")</f>
        <v>0</v>
      </c>
      <c r="AC11" t="str" cm="1">
        <f t="array" ref="AC11">IFERROR(INDEX(バンド!$A$1:$S$17,MATCH(タイムテーブル!$G11,バンド!$B$1:$B$17,0),COLUMN(バンド!Q$1))&amp;"", "")</f>
        <v>0</v>
      </c>
      <c r="AD11" t="str" cm="1">
        <f t="array" ref="AD11">IFERROR(INDEX(バンド!$A$1:$S$17,MATCH(タイムテーブル!$G11,バンド!$B$1:$B$17,0),COLUMN(バンド!R$1))&amp;"", "")</f>
        <v>0</v>
      </c>
      <c r="AE11" t="str" cm="1">
        <f t="array" ref="AE11">IFERROR(INDEX(バンド!$A$1:$S$17,MATCH(タイムテーブル!$G11,バンド!$B$1:$B$17,0),COLUMN(バンド!S$1))&amp;"", "")</f>
        <v>0</v>
      </c>
      <c r="AF11" t="str" cm="1">
        <f t="array" ref="AF11">_xlfn.IFS(X11&lt;&gt;"1", "", OR(AND(X$1&lt;$E11-$D11, $E11-$D11&lt;X$1+60), AND(X$1&lt;$E11, $E11&lt;X$1+60)), "×", TRUE, "")</f>
        <v/>
      </c>
      <c r="AG11" t="str" cm="1">
        <f t="array" ref="AG11">_xlfn.IFS(Y11&lt;&gt;"1", "", OR(AND(Y$1&lt;$E11-$D11, $E11-$D11&lt;Y$1+60), AND(Y$1&lt;$E11, $E11&lt;Y$1+60)), "×", TRUE, "")</f>
        <v/>
      </c>
      <c r="AH11" t="str" cm="1">
        <f t="array" ref="AH11">_xlfn.IFS(Z11&lt;&gt;"1", "", OR(AND(Z$1&lt;$E11-$D11, $E11-$D11&lt;Z$1+60), AND(Z$1&lt;$E11, $E11&lt;Z$1+60)), "×", TRUE, "")</f>
        <v/>
      </c>
      <c r="AI11" t="str" cm="1">
        <f t="array" ref="AI11">_xlfn.IFS(AA11&lt;&gt;"1", "", OR(AND(AA$1&lt;$E11-$D11, $E11-$D11&lt;AA$1+60), AND(AA$1&lt;$E11, $E11&lt;AA$1+60)), "×", TRUE, "")</f>
        <v/>
      </c>
      <c r="AJ11" t="str" cm="1">
        <f t="array" ref="AJ11">_xlfn.IFS(AB11&lt;&gt;"1", "", OR(AND(AB$1&lt;$E11-$D11, $E11-$D11&lt;AB$1+60), AND(AB$1&lt;$E11, $E11&lt;AB$1+60)), "×", TRUE, "")</f>
        <v/>
      </c>
      <c r="AK11" t="str" cm="1">
        <f t="array" ref="AK11">_xlfn.IFS(AC11&lt;&gt;"1", "", OR(AND(AC$1&lt;$E11-$D11, $E11-$D11&lt;AC$1+60), AND(AC$1&lt;$E11, $E11&lt;AC$1+60)), "×", TRUE, "")</f>
        <v/>
      </c>
      <c r="AL11" t="str" cm="1">
        <f t="array" ref="AL11">_xlfn.IFS(AD11&lt;&gt;"1", "", OR(AND(AD$1&lt;$E11-$D11, $E11-$D11&lt;AD$1+60), AND(AD$1&lt;$E11, $E11&lt;AD$1+60)), "×", TRUE, "")</f>
        <v/>
      </c>
      <c r="AM11" t="str" cm="1">
        <f t="array" ref="AM11">_xlfn.IFS(AE11&lt;&gt;"1", "", OR(AND(AE$1&lt;$E11-$D11, $E11-$D11&lt;AE$1+60), AND(AE$1&lt;$E11, $E11&lt;AE$1+60)), "×", TRUE, "")</f>
        <v/>
      </c>
    </row>
    <row r="12" spans="1:39">
      <c r="A12" s="5">
        <f t="shared" si="2"/>
        <v>0.46944444444444444</v>
      </c>
      <c r="B12" s="2" t="s">
        <v>33</v>
      </c>
      <c r="C12" s="6">
        <f t="shared" si="3"/>
        <v>0.47083333333333333</v>
      </c>
      <c r="D12" s="7">
        <v>2</v>
      </c>
      <c r="E12">
        <f t="shared" si="4"/>
        <v>138</v>
      </c>
      <c r="F12" t="s">
        <v>90</v>
      </c>
      <c r="H12" t="str">
        <f>IFERROR(INDEX(バンド!$A$1:$K$17,MATCH(タイムテーブル!$F12,バンド!$J$1:$J$17,0),11), "")</f>
        <v/>
      </c>
      <c r="I12" t="str">
        <f>IFERROR(INDEX(バンド!$A$1:$K$17,MATCH(タイムテーブル!$F12,バンド!$J$1:$J$17,0),11), "")</f>
        <v/>
      </c>
      <c r="J12" t="str">
        <f t="shared" si="0"/>
        <v/>
      </c>
      <c r="K12" t="str">
        <f t="shared" si="1"/>
        <v/>
      </c>
      <c r="L12" t="str" cm="1">
        <f t="array" ref="L12">IFERROR(INDEX(バンド!$A$1:$J$17,MATCH($G12,バンド!$B$1:$B$17,0),COLUMN(バンド!C$1))&amp;"", "")</f>
        <v/>
      </c>
      <c r="M12" t="str" cm="1">
        <f t="array" ref="M12">IFERROR(INDEX(バンド!$A$1:$J$17,MATCH($G12,バンド!$B$1:$B$17,0),COLUMN(バンド!D$1))&amp;"", "")</f>
        <v/>
      </c>
      <c r="N12" t="str" cm="1">
        <f t="array" ref="N12">IFERROR(INDEX(バンド!$A$1:$J$17,MATCH($G12,バンド!$B$1:$B$17,0),COLUMN(バンド!E$1))&amp;"", "")</f>
        <v/>
      </c>
      <c r="O12" t="str" cm="1">
        <f t="array" ref="O12">IFERROR(INDEX(バンド!$A$1:$J$17,MATCH($G12,バンド!$B$1:$B$17,0),COLUMN(バンド!F$1))&amp;"", "")</f>
        <v/>
      </c>
      <c r="P12" t="str" cm="1">
        <f t="array" ref="P12">IFERROR(INDEX(バンド!$A$1:$J$17,MATCH($G12,バンド!$B$1:$B$17,0),COLUMN(バンド!G$1))&amp;"", "")</f>
        <v/>
      </c>
      <c r="Q12" t="str" cm="1">
        <f t="array" ref="Q12">IFERROR(INDEX(バンド!$A$1:$J$17,MATCH($G12,バンド!$B$1:$B$17,0),COLUMN(バンド!H$1))&amp;"", "")</f>
        <v/>
      </c>
      <c r="R12" t="str" cm="1">
        <f t="array" ref="R12">_xlfn.IFS($I12="a", 0, L12="", "", TRUE, COUNTIF($L10:$Q10, L12))</f>
        <v/>
      </c>
      <c r="S12" t="str" cm="1">
        <f t="array" ref="S12">_xlfn.IFS($I12="a", 0, M12="", "", TRUE, COUNTIF($L10:$Q10, M12))</f>
        <v/>
      </c>
      <c r="T12" t="str" cm="1">
        <f t="array" ref="T12">_xlfn.IFS($I12="a", 0, N12="", "", TRUE, COUNTIF($L10:$Q10, N12))</f>
        <v/>
      </c>
      <c r="U12" t="str" cm="1">
        <f t="array" ref="U12">_xlfn.IFS($I12="a", 0, O12="", "", TRUE, COUNTIF($L10:$Q10, O12))</f>
        <v/>
      </c>
      <c r="V12" t="str" cm="1">
        <f t="array" ref="V12">_xlfn.IFS($I12="a", 0, P12="", "", TRUE, COUNTIF($L10:$Q10, P12))</f>
        <v/>
      </c>
      <c r="W12" t="str" cm="1">
        <f t="array" ref="W12">_xlfn.IFS($I12="a", 0, Q12="", "", TRUE, COUNTIF($L10:$Q10, Q12))</f>
        <v/>
      </c>
      <c r="X12" t="str" cm="1">
        <f t="array" ref="X12">IFERROR(INDEX(バンド!$A$1:$S$17,MATCH(タイムテーブル!$G12,バンド!$B$1:$B$17,0),COLUMN(バンド!L$1))&amp;"", "")</f>
        <v/>
      </c>
      <c r="Y12" t="str" cm="1">
        <f t="array" ref="Y12">IFERROR(INDEX(バンド!$A$1:$S$17,MATCH(タイムテーブル!$G12,バンド!$B$1:$B$17,0),COLUMN(バンド!M$1))&amp;"", "")</f>
        <v/>
      </c>
      <c r="Z12" t="str" cm="1">
        <f t="array" ref="Z12">IFERROR(INDEX(バンド!$A$1:$S$17,MATCH(タイムテーブル!$G12,バンド!$B$1:$B$17,0),COLUMN(バンド!N$1))&amp;"", "")</f>
        <v/>
      </c>
      <c r="AA12" t="str" cm="1">
        <f t="array" ref="AA12">IFERROR(INDEX(バンド!$A$1:$S$17,MATCH(タイムテーブル!$G12,バンド!$B$1:$B$17,0),COLUMN(バンド!O$1))&amp;"", "")</f>
        <v/>
      </c>
      <c r="AB12" t="str" cm="1">
        <f t="array" ref="AB12">IFERROR(INDEX(バンド!$A$1:$S$17,MATCH(タイムテーブル!$G12,バンド!$B$1:$B$17,0),COLUMN(バンド!P$1))&amp;"", "")</f>
        <v/>
      </c>
      <c r="AC12" t="str" cm="1">
        <f t="array" ref="AC12">IFERROR(INDEX(バンド!$A$1:$S$17,MATCH(タイムテーブル!$G12,バンド!$B$1:$B$17,0),COLUMN(バンド!Q$1))&amp;"", "")</f>
        <v/>
      </c>
      <c r="AD12" t="str" cm="1">
        <f t="array" ref="AD12">IFERROR(INDEX(バンド!$A$1:$S$17,MATCH(タイムテーブル!$G12,バンド!$B$1:$B$17,0),COLUMN(バンド!R$1))&amp;"", "")</f>
        <v/>
      </c>
      <c r="AE12" t="str" cm="1">
        <f t="array" ref="AE12">IFERROR(INDEX(バンド!$A$1:$S$17,MATCH(タイムテーブル!$G12,バンド!$B$1:$B$17,0),COLUMN(バンド!S$1))&amp;"", "")</f>
        <v/>
      </c>
      <c r="AF12" t="str" cm="1">
        <f t="array" ref="AF12">_xlfn.IFS(X12&lt;&gt;"1", "", OR(AND(X$1&lt;$E12-$D12, $E12-$D12&lt;X$1+60), AND(X$1&lt;$E12, $E12&lt;X$1+60)), "×", TRUE, "")</f>
        <v/>
      </c>
      <c r="AG12" t="str" cm="1">
        <f t="array" ref="AG12">_xlfn.IFS(Y12&lt;&gt;"1", "", OR(AND(Y$1&lt;$E12-$D12, $E12-$D12&lt;Y$1+60), AND(Y$1&lt;$E12, $E12&lt;Y$1+60)), "×", TRUE, "")</f>
        <v/>
      </c>
      <c r="AH12" t="str" cm="1">
        <f t="array" ref="AH12">_xlfn.IFS(Z12&lt;&gt;"1", "", OR(AND(Z$1&lt;$E12-$D12, $E12-$D12&lt;Z$1+60), AND(Z$1&lt;$E12, $E12&lt;Z$1+60)), "×", TRUE, "")</f>
        <v/>
      </c>
      <c r="AI12" t="str" cm="1">
        <f t="array" ref="AI12">_xlfn.IFS(AA12&lt;&gt;"1", "", OR(AND(AA$1&lt;$E12-$D12, $E12-$D12&lt;AA$1+60), AND(AA$1&lt;$E12, $E12&lt;AA$1+60)), "×", TRUE, "")</f>
        <v/>
      </c>
      <c r="AJ12" t="str" cm="1">
        <f t="array" ref="AJ12">_xlfn.IFS(AB12&lt;&gt;"1", "", OR(AND(AB$1&lt;$E12-$D12, $E12-$D12&lt;AB$1+60), AND(AB$1&lt;$E12, $E12&lt;AB$1+60)), "×", TRUE, "")</f>
        <v/>
      </c>
      <c r="AK12" t="str" cm="1">
        <f t="array" ref="AK12">_xlfn.IFS(AC12&lt;&gt;"1", "", OR(AND(AC$1&lt;$E12-$D12, $E12-$D12&lt;AC$1+60), AND(AC$1&lt;$E12, $E12&lt;AC$1+60)), "×", TRUE, "")</f>
        <v/>
      </c>
      <c r="AL12" t="str" cm="1">
        <f t="array" ref="AL12">_xlfn.IFS(AD12&lt;&gt;"1", "", OR(AND(AD$1&lt;$E12-$D12, $E12-$D12&lt;AD$1+60), AND(AD$1&lt;$E12, $E12&lt;AD$1+60)), "×", TRUE, "")</f>
        <v/>
      </c>
      <c r="AM12" t="str" cm="1">
        <f t="array" ref="AM12">_xlfn.IFS(AE12&lt;&gt;"1", "", OR(AND(AE$1&lt;$E12-$D12, $E12-$D12&lt;AE$1+60), AND(AE$1&lt;$E12, $E12&lt;AE$1+60)), "×", TRUE, "")</f>
        <v/>
      </c>
    </row>
    <row r="13" spans="1:39">
      <c r="A13" s="5">
        <f t="shared" si="2"/>
        <v>0.47083333333333333</v>
      </c>
      <c r="B13" s="2" t="s">
        <v>33</v>
      </c>
      <c r="C13" s="6">
        <f t="shared" si="3"/>
        <v>0.4826388888888889</v>
      </c>
      <c r="D13" s="7">
        <v>17</v>
      </c>
      <c r="E13">
        <f t="shared" si="4"/>
        <v>155</v>
      </c>
      <c r="F13">
        <v>4</v>
      </c>
      <c r="G13" t="s">
        <v>72</v>
      </c>
      <c r="H13">
        <f>IFERROR(INDEX(バンド!$A$1:$K$17,MATCH(タイムテーブル!$F13,バンド!$J$1:$J$17,0),11), "")</f>
        <v>0</v>
      </c>
      <c r="I13">
        <f>IFERROR(INDEX(バンド!$A$1:$K$17,MATCH(タイムテーブル!$F13,バンド!$J$1:$J$17,0),11), "")</f>
        <v>0</v>
      </c>
      <c r="J13">
        <f t="shared" si="0"/>
        <v>0</v>
      </c>
      <c r="K13">
        <f>IFERROR(IF(G13="", "", COUNTIF(AF13:AM13, "×")), "")</f>
        <v>0</v>
      </c>
      <c r="L13" t="str" cm="1">
        <f t="array" ref="L13">IFERROR(INDEX(バンド!$A$1:$J$17,MATCH($G13,バンド!$B$1:$B$17,0),COLUMN(バンド!C$1))&amp;"", "")</f>
        <v>22なべ</v>
      </c>
      <c r="M13" t="str" cm="1">
        <f t="array" ref="M13">IFERROR(INDEX(バンド!$A$1:$J$17,MATCH($G13,バンド!$B$1:$B$17,0),COLUMN(バンド!D$1))&amp;"", "")</f>
        <v>22rion</v>
      </c>
      <c r="N13" t="str" cm="1">
        <f t="array" ref="N13">IFERROR(INDEX(バンド!$A$1:$J$17,MATCH($G13,バンド!$B$1:$B$17,0),COLUMN(バンド!E$1))&amp;"", "")</f>
        <v>23ひなの</v>
      </c>
      <c r="O13" t="str" cm="1">
        <f t="array" ref="O13">IFERROR(INDEX(バンド!$A$1:$J$17,MATCH($G13,バンド!$B$1:$B$17,0),COLUMN(バンド!F$1))&amp;"", "")</f>
        <v>23あさぴん</v>
      </c>
      <c r="P13" t="str" cm="1">
        <f t="array" ref="P13">IFERROR(INDEX(バンド!$A$1:$J$17,MATCH($G13,バンド!$B$1:$B$17,0),COLUMN(バンド!G$1))&amp;"", "")</f>
        <v>23まみこ</v>
      </c>
      <c r="Q13" t="str" cm="1">
        <f t="array" ref="Q13">IFERROR(INDEX(バンド!$A$1:$J$17,MATCH($G13,バンド!$B$1:$B$17,0),COLUMN(バンド!H$1))&amp;"", "")</f>
        <v>23🈂️</v>
      </c>
      <c r="R13" cm="1">
        <f t="array" ref="R13">_xlfn.IFS($I13="a", 0, L13="", "", TRUE, COUNTIF($L11:$Q11, L13))</f>
        <v>0</v>
      </c>
      <c r="S13" cm="1">
        <f t="array" ref="S13">_xlfn.IFS($I13="a", 0, M13="", "", TRUE, COUNTIF($L11:$Q11, M13))</f>
        <v>0</v>
      </c>
      <c r="T13" cm="1">
        <f t="array" ref="T13">_xlfn.IFS($I13="a", 0, N13="", "", TRUE, COUNTIF($L11:$Q11, N13))</f>
        <v>0</v>
      </c>
      <c r="U13" cm="1">
        <f t="array" ref="U13">_xlfn.IFS($I13="a", 0, O13="", "", TRUE, COUNTIF($L11:$Q11, O13))</f>
        <v>0</v>
      </c>
      <c r="V13" cm="1">
        <f t="array" ref="V13">_xlfn.IFS($I13="a", 0, P13="", "", TRUE, COUNTIF($L11:$Q11, P13))</f>
        <v>0</v>
      </c>
      <c r="W13" cm="1">
        <f t="array" ref="W13">_xlfn.IFS($I13="a", 0, Q13="", "", TRUE, COUNTIF($L11:$Q11, Q13))</f>
        <v>0</v>
      </c>
      <c r="X13" t="str" cm="1">
        <f t="array" ref="X13">IFERROR(INDEX(バンド!$A$1:$S$17,MATCH(タイムテーブル!$G13,バンド!$B$1:$B$17,0),COLUMN(バンド!L$1))&amp;"", "")</f>
        <v>0</v>
      </c>
      <c r="Y13" t="str" cm="1">
        <f t="array" ref="Y13">IFERROR(INDEX(バンド!$A$1:$S$17,MATCH(タイムテーブル!$G13,バンド!$B$1:$B$17,0),COLUMN(バンド!M$1))&amp;"", "")</f>
        <v>0</v>
      </c>
      <c r="Z13" t="str" cm="1">
        <f t="array" ref="Z13">IFERROR(INDEX(バンド!$A$1:$S$17,MATCH(タイムテーブル!$G13,バンド!$B$1:$B$17,0),COLUMN(バンド!N$1))&amp;"", "")</f>
        <v>0</v>
      </c>
      <c r="AA13" t="str" cm="1">
        <f t="array" ref="AA13">IFERROR(INDEX(バンド!$A$1:$S$17,MATCH(タイムテーブル!$G13,バンド!$B$1:$B$17,0),COLUMN(バンド!O$1))&amp;"", "")</f>
        <v>0</v>
      </c>
      <c r="AB13" t="str" cm="1">
        <f t="array" ref="AB13">IFERROR(INDEX(バンド!$A$1:$S$17,MATCH(タイムテーブル!$G13,バンド!$B$1:$B$17,0),COLUMN(バンド!P$1))&amp;"", "")</f>
        <v>0</v>
      </c>
      <c r="AC13" t="str" cm="1">
        <f t="array" ref="AC13">IFERROR(INDEX(バンド!$A$1:$S$17,MATCH(タイムテーブル!$G13,バンド!$B$1:$B$17,0),COLUMN(バンド!Q$1))&amp;"", "")</f>
        <v>0</v>
      </c>
      <c r="AD13" t="str" cm="1">
        <f t="array" ref="AD13">IFERROR(INDEX(バンド!$A$1:$S$17,MATCH(タイムテーブル!$G13,バンド!$B$1:$B$17,0),COLUMN(バンド!R$1))&amp;"", "")</f>
        <v>0</v>
      </c>
      <c r="AE13" t="str" cm="1">
        <f t="array" ref="AE13">IFERROR(INDEX(バンド!$A$1:$S$17,MATCH(タイムテーブル!$G13,バンド!$B$1:$B$17,0),COLUMN(バンド!S$1))&amp;"", "")</f>
        <v>0</v>
      </c>
      <c r="AF13" t="str" cm="1">
        <f t="array" ref="AF13">_xlfn.IFS(X13&lt;&gt;"1", "", OR(AND(X$1&lt;$E13-$D13, $E13-$D13&lt;X$1+60), AND(X$1&lt;$E13, $E13&lt;X$1+60)), "×", TRUE, "")</f>
        <v/>
      </c>
      <c r="AG13" t="str" cm="1">
        <f t="array" ref="AG13">_xlfn.IFS(Y13&lt;&gt;"1", "", OR(AND(Y$1&lt;$E13-$D13, $E13-$D13&lt;Y$1+60), AND(Y$1&lt;$E13, $E13&lt;Y$1+60)), "×", TRUE, "")</f>
        <v/>
      </c>
      <c r="AH13" t="str" cm="1">
        <f t="array" ref="AH13">_xlfn.IFS(Z13&lt;&gt;"1", "", OR(AND(Z$1&lt;$E13-$D13, $E13-$D13&lt;Z$1+60), AND(Z$1&lt;$E13, $E13&lt;Z$1+60)), "×", TRUE, "")</f>
        <v/>
      </c>
      <c r="AI13" t="str" cm="1">
        <f t="array" ref="AI13">_xlfn.IFS(AA13&lt;&gt;"1", "", OR(AND(AA$1&lt;$E13-$D13, $E13-$D13&lt;AA$1+60), AND(AA$1&lt;$E13, $E13&lt;AA$1+60)), "×", TRUE, "")</f>
        <v/>
      </c>
      <c r="AJ13" t="str" cm="1">
        <f t="array" ref="AJ13">_xlfn.IFS(AB13&lt;&gt;"1", "", OR(AND(AB$1&lt;$E13-$D13, $E13-$D13&lt;AB$1+60), AND(AB$1&lt;$E13, $E13&lt;AB$1+60)), "×", TRUE, "")</f>
        <v/>
      </c>
      <c r="AK13" t="str" cm="1">
        <f t="array" ref="AK13">_xlfn.IFS(AC13&lt;&gt;"1", "", OR(AND(AC$1&lt;$E13-$D13, $E13-$D13&lt;AC$1+60), AND(AC$1&lt;$E13, $E13&lt;AC$1+60)), "×", TRUE, "")</f>
        <v/>
      </c>
      <c r="AL13" t="str" cm="1">
        <f t="array" ref="AL13">_xlfn.IFS(AD13&lt;&gt;"1", "", OR(AND(AD$1&lt;$E13-$D13, $E13-$D13&lt;AD$1+60), AND(AD$1&lt;$E13, $E13&lt;AD$1+60)), "×", TRUE, "")</f>
        <v/>
      </c>
      <c r="AM13" t="str" cm="1">
        <f t="array" ref="AM13">_xlfn.IFS(AE13&lt;&gt;"1", "", OR(AND(AE$1&lt;$E13-$D13, $E13-$D13&lt;AE$1+60), AND(AE$1&lt;$E13, $E13&lt;AE$1+60)), "×", TRUE, "")</f>
        <v/>
      </c>
    </row>
    <row r="14" spans="1:39">
      <c r="A14" s="5">
        <f t="shared" si="2"/>
        <v>0.4826388888888889</v>
      </c>
      <c r="B14" s="2" t="s">
        <v>33</v>
      </c>
      <c r="C14" s="6">
        <f t="shared" si="3"/>
        <v>0.48402777777777778</v>
      </c>
      <c r="D14" s="7">
        <v>2</v>
      </c>
      <c r="E14">
        <f t="shared" si="4"/>
        <v>157</v>
      </c>
      <c r="F14" t="s">
        <v>90</v>
      </c>
      <c r="H14" t="str">
        <f>IFERROR(INDEX(バンド!$A$1:$K$17,MATCH(タイムテーブル!$F14,バンド!$J$1:$J$17,0),11), "")</f>
        <v/>
      </c>
      <c r="I14" t="str">
        <f>IFERROR(INDEX(バンド!$A$1:$K$17,MATCH(タイムテーブル!$F14,バンド!$J$1:$J$17,0),11), "")</f>
        <v/>
      </c>
      <c r="J14" t="str">
        <f t="shared" si="0"/>
        <v/>
      </c>
      <c r="K14" t="str">
        <f t="shared" si="1"/>
        <v/>
      </c>
      <c r="L14" t="str" cm="1">
        <f t="array" ref="L14">IFERROR(INDEX(バンド!$A$1:$J$17,MATCH($G14,バンド!$B$1:$B$17,0),COLUMN(バンド!C$1))&amp;"", "")</f>
        <v/>
      </c>
      <c r="M14" t="str" cm="1">
        <f t="array" ref="M14">IFERROR(INDEX(バンド!$A$1:$J$17,MATCH($G14,バンド!$B$1:$B$17,0),COLUMN(バンド!D$1))&amp;"", "")</f>
        <v/>
      </c>
      <c r="N14" t="str" cm="1">
        <f t="array" ref="N14">IFERROR(INDEX(バンド!$A$1:$J$17,MATCH($G14,バンド!$B$1:$B$17,0),COLUMN(バンド!E$1))&amp;"", "")</f>
        <v/>
      </c>
      <c r="O14" t="str" cm="1">
        <f t="array" ref="O14">IFERROR(INDEX(バンド!$A$1:$J$17,MATCH($G14,バンド!$B$1:$B$17,0),COLUMN(バンド!F$1))&amp;"", "")</f>
        <v/>
      </c>
      <c r="P14" t="str" cm="1">
        <f t="array" ref="P14">IFERROR(INDEX(バンド!$A$1:$J$17,MATCH($G14,バンド!$B$1:$B$17,0),COLUMN(バンド!G$1))&amp;"", "")</f>
        <v/>
      </c>
      <c r="Q14" t="str" cm="1">
        <f t="array" ref="Q14">IFERROR(INDEX(バンド!$A$1:$J$17,MATCH($G14,バンド!$B$1:$B$17,0),COLUMN(バンド!H$1))&amp;"", "")</f>
        <v/>
      </c>
      <c r="R14" t="str" cm="1">
        <f t="array" ref="R14">_xlfn.IFS($I14="a", 0, L14="", "", TRUE, COUNTIF($L12:$Q12, L14))</f>
        <v/>
      </c>
      <c r="S14" t="str" cm="1">
        <f t="array" ref="S14">_xlfn.IFS($I14="a", 0, M14="", "", TRUE, COUNTIF($L12:$Q12, M14))</f>
        <v/>
      </c>
      <c r="T14" t="str" cm="1">
        <f t="array" ref="T14">_xlfn.IFS($I14="a", 0, N14="", "", TRUE, COUNTIF($L12:$Q12, N14))</f>
        <v/>
      </c>
      <c r="U14" t="str" cm="1">
        <f t="array" ref="U14">_xlfn.IFS($I14="a", 0, O14="", "", TRUE, COUNTIF($L12:$Q12, O14))</f>
        <v/>
      </c>
      <c r="V14" t="str" cm="1">
        <f t="array" ref="V14">_xlfn.IFS($I14="a", 0, P14="", "", TRUE, COUNTIF($L12:$Q12, P14))</f>
        <v/>
      </c>
      <c r="W14" t="str" cm="1">
        <f t="array" ref="W14">_xlfn.IFS($I14="a", 0, Q14="", "", TRUE, COUNTIF($L12:$Q12, Q14))</f>
        <v/>
      </c>
      <c r="X14" t="str" cm="1">
        <f t="array" ref="X14">IFERROR(INDEX(バンド!$A$1:$S$17,MATCH(タイムテーブル!$G14,バンド!$B$1:$B$17,0),COLUMN(バンド!L$1))&amp;"", "")</f>
        <v/>
      </c>
      <c r="Y14" t="str" cm="1">
        <f t="array" ref="Y14">IFERROR(INDEX(バンド!$A$1:$S$17,MATCH(タイムテーブル!$G14,バンド!$B$1:$B$17,0),COLUMN(バンド!M$1))&amp;"", "")</f>
        <v/>
      </c>
      <c r="Z14" t="str" cm="1">
        <f t="array" ref="Z14">IFERROR(INDEX(バンド!$A$1:$S$17,MATCH(タイムテーブル!$G14,バンド!$B$1:$B$17,0),COLUMN(バンド!N$1))&amp;"", "")</f>
        <v/>
      </c>
      <c r="AA14" t="str" cm="1">
        <f t="array" ref="AA14">IFERROR(INDEX(バンド!$A$1:$S$17,MATCH(タイムテーブル!$G14,バンド!$B$1:$B$17,0),COLUMN(バンド!O$1))&amp;"", "")</f>
        <v/>
      </c>
      <c r="AB14" t="str" cm="1">
        <f t="array" ref="AB14">IFERROR(INDEX(バンド!$A$1:$S$17,MATCH(タイムテーブル!$G14,バンド!$B$1:$B$17,0),COLUMN(バンド!P$1))&amp;"", "")</f>
        <v/>
      </c>
      <c r="AC14" t="str" cm="1">
        <f t="array" ref="AC14">IFERROR(INDEX(バンド!$A$1:$S$17,MATCH(タイムテーブル!$G14,バンド!$B$1:$B$17,0),COLUMN(バンド!Q$1))&amp;"", "")</f>
        <v/>
      </c>
      <c r="AD14" t="str" cm="1">
        <f t="array" ref="AD14">IFERROR(INDEX(バンド!$A$1:$S$17,MATCH(タイムテーブル!$G14,バンド!$B$1:$B$17,0),COLUMN(バンド!R$1))&amp;"", "")</f>
        <v/>
      </c>
      <c r="AE14" t="str" cm="1">
        <f t="array" ref="AE14">IFERROR(INDEX(バンド!$A$1:$S$17,MATCH(タイムテーブル!$G14,バンド!$B$1:$B$17,0),COLUMN(バンド!S$1))&amp;"", "")</f>
        <v/>
      </c>
      <c r="AF14" t="str" cm="1">
        <f t="array" ref="AF14">_xlfn.IFS(X14&lt;&gt;"1", "", OR(AND(X$1&lt;$E14-$D14, $E14-$D14&lt;X$1+60), AND(X$1&lt;$E14, $E14&lt;X$1+60)), "×", TRUE, "")</f>
        <v/>
      </c>
      <c r="AG14" t="str" cm="1">
        <f t="array" ref="AG14">_xlfn.IFS(Y14&lt;&gt;"1", "", OR(AND(Y$1&lt;$E14-$D14, $E14-$D14&lt;Y$1+60), AND(Y$1&lt;$E14, $E14&lt;Y$1+60)), "×", TRUE, "")</f>
        <v/>
      </c>
      <c r="AH14" t="str" cm="1">
        <f t="array" ref="AH14">_xlfn.IFS(Z14&lt;&gt;"1", "", OR(AND(Z$1&lt;$E14-$D14, $E14-$D14&lt;Z$1+60), AND(Z$1&lt;$E14, $E14&lt;Z$1+60)), "×", TRUE, "")</f>
        <v/>
      </c>
      <c r="AI14" t="str" cm="1">
        <f t="array" ref="AI14">_xlfn.IFS(AA14&lt;&gt;"1", "", OR(AND(AA$1&lt;$E14-$D14, $E14-$D14&lt;AA$1+60), AND(AA$1&lt;$E14, $E14&lt;AA$1+60)), "×", TRUE, "")</f>
        <v/>
      </c>
      <c r="AJ14" t="str" cm="1">
        <f t="array" ref="AJ14">_xlfn.IFS(AB14&lt;&gt;"1", "", OR(AND(AB$1&lt;$E14-$D14, $E14-$D14&lt;AB$1+60), AND(AB$1&lt;$E14, $E14&lt;AB$1+60)), "×", TRUE, "")</f>
        <v/>
      </c>
      <c r="AK14" t="str" cm="1">
        <f t="array" ref="AK14">_xlfn.IFS(AC14&lt;&gt;"1", "", OR(AND(AC$1&lt;$E14-$D14, $E14-$D14&lt;AC$1+60), AND(AC$1&lt;$E14, $E14&lt;AC$1+60)), "×", TRUE, "")</f>
        <v/>
      </c>
      <c r="AL14" t="str" cm="1">
        <f t="array" ref="AL14">_xlfn.IFS(AD14&lt;&gt;"1", "", OR(AND(AD$1&lt;$E14-$D14, $E14-$D14&lt;AD$1+60), AND(AD$1&lt;$E14, $E14&lt;AD$1+60)), "×", TRUE, "")</f>
        <v/>
      </c>
      <c r="AM14" t="str" cm="1">
        <f t="array" ref="AM14">_xlfn.IFS(AE14&lt;&gt;"1", "", OR(AND(AE$1&lt;$E14-$D14, $E14-$D14&lt;AE$1+60), AND(AE$1&lt;$E14, $E14&lt;AE$1+60)), "×", TRUE, "")</f>
        <v/>
      </c>
    </row>
    <row r="15" spans="1:39">
      <c r="A15" s="5">
        <f t="shared" si="2"/>
        <v>0.48402777777777778</v>
      </c>
      <c r="B15" s="2" t="s">
        <v>33</v>
      </c>
      <c r="C15" s="6">
        <f t="shared" si="3"/>
        <v>0.49583333333333335</v>
      </c>
      <c r="D15" s="7">
        <v>17</v>
      </c>
      <c r="E15">
        <f t="shared" si="4"/>
        <v>174</v>
      </c>
      <c r="F15">
        <v>5</v>
      </c>
      <c r="G15" t="s">
        <v>54</v>
      </c>
      <c r="H15">
        <f>IFERROR(INDEX(バンド!$A$1:$K$17,MATCH(タイムテーブル!$F15,バンド!$J$1:$J$17,0),11), "")</f>
        <v>0</v>
      </c>
      <c r="I15">
        <f>IFERROR(INDEX(バンド!$A$1:$K$17,MATCH(タイムテーブル!$F15,バンド!$J$1:$J$17,0),11), "")</f>
        <v>0</v>
      </c>
      <c r="J15">
        <f t="shared" si="0"/>
        <v>0</v>
      </c>
      <c r="K15">
        <f t="shared" si="1"/>
        <v>0</v>
      </c>
      <c r="L15" t="str" cm="1">
        <f t="array" ref="L15">IFERROR(INDEX(バンド!$A$1:$J$17,MATCH($G15,バンド!$B$1:$B$17,0),COLUMN(バンド!C$1))&amp;"", "")</f>
        <v>21ハク</v>
      </c>
      <c r="M15" t="str" cm="1">
        <f t="array" ref="M15">IFERROR(INDEX(バンド!$A$1:$J$17,MATCH($G15,バンド!$B$1:$B$17,0),COLUMN(バンド!D$1))&amp;"", "")</f>
        <v>21しゃんしゃん</v>
      </c>
      <c r="N15" t="str" cm="1">
        <f t="array" ref="N15">IFERROR(INDEX(バンド!$A$1:$J$17,MATCH($G15,バンド!$B$1:$B$17,0),COLUMN(バンド!E$1))&amp;"", "")</f>
        <v>21もも</v>
      </c>
      <c r="O15" t="str" cm="1">
        <f t="array" ref="O15">IFERROR(INDEX(バンド!$A$1:$J$17,MATCH($G15,バンド!$B$1:$B$17,0),COLUMN(バンド!F$1))&amp;"", "")</f>
        <v>21よし</v>
      </c>
      <c r="P15" t="str" cm="1">
        <f t="array" ref="P15">IFERROR(INDEX(バンド!$A$1:$J$17,MATCH($G15,バンド!$B$1:$B$17,0),COLUMN(バンド!G$1))&amp;"", "")</f>
        <v>21けんたろう</v>
      </c>
      <c r="Q15" t="str" cm="1">
        <f t="array" ref="Q15">IFERROR(INDEX(バンド!$A$1:$J$17,MATCH($G15,バンド!$B$1:$B$17,0),COLUMN(バンド!H$1))&amp;"", "")</f>
        <v>22あやき</v>
      </c>
      <c r="R15" cm="1">
        <f t="array" ref="R15">_xlfn.IFS($I15="a", 0, L15="", "", TRUE, COUNTIF($L13:$Q13, L15))</f>
        <v>0</v>
      </c>
      <c r="S15" cm="1">
        <f t="array" ref="S15">_xlfn.IFS($I15="a", 0, M15="", "", TRUE, COUNTIF($L13:$Q13, M15))</f>
        <v>0</v>
      </c>
      <c r="T15" cm="1">
        <f t="array" ref="T15">_xlfn.IFS($I15="a", 0, N15="", "", TRUE, COUNTIF($L13:$Q13, N15))</f>
        <v>0</v>
      </c>
      <c r="U15" cm="1">
        <f t="array" ref="U15">_xlfn.IFS($I15="a", 0, O15="", "", TRUE, COUNTIF($L13:$Q13, O15))</f>
        <v>0</v>
      </c>
      <c r="V15" cm="1">
        <f t="array" ref="V15">_xlfn.IFS($I15="a", 0, P15="", "", TRUE, COUNTIF($L13:$Q13, P15))</f>
        <v>0</v>
      </c>
      <c r="W15" cm="1">
        <f t="array" ref="W15">_xlfn.IFS($I15="a", 0, Q15="", "", TRUE, COUNTIF($L13:$Q13, Q15))</f>
        <v>0</v>
      </c>
      <c r="X15" t="str" cm="1">
        <f t="array" ref="X15">IFERROR(INDEX(バンド!$A$1:$S$17,MATCH(タイムテーブル!$G15,バンド!$B$1:$B$17,0),COLUMN(バンド!L$1))&amp;"", "")</f>
        <v>0</v>
      </c>
      <c r="Y15" t="str" cm="1">
        <f t="array" ref="Y15">IFERROR(INDEX(バンド!$A$1:$S$17,MATCH(タイムテーブル!$G15,バンド!$B$1:$B$17,0),COLUMN(バンド!M$1))&amp;"", "")</f>
        <v>0</v>
      </c>
      <c r="Z15" t="str" cm="1">
        <f t="array" ref="Z15">IFERROR(INDEX(バンド!$A$1:$S$17,MATCH(タイムテーブル!$G15,バンド!$B$1:$B$17,0),COLUMN(バンド!N$1))&amp;"", "")</f>
        <v>0</v>
      </c>
      <c r="AA15" t="str" cm="1">
        <f t="array" ref="AA15">IFERROR(INDEX(バンド!$A$1:$S$17,MATCH(タイムテーブル!$G15,バンド!$B$1:$B$17,0),COLUMN(バンド!O$1))&amp;"", "")</f>
        <v>0</v>
      </c>
      <c r="AB15" t="str" cm="1">
        <f t="array" ref="AB15">IFERROR(INDEX(バンド!$A$1:$S$17,MATCH(タイムテーブル!$G15,バンド!$B$1:$B$17,0),COLUMN(バンド!P$1))&amp;"", "")</f>
        <v>0</v>
      </c>
      <c r="AC15" t="str" cm="1">
        <f t="array" ref="AC15">IFERROR(INDEX(バンド!$A$1:$S$17,MATCH(タイムテーブル!$G15,バンド!$B$1:$B$17,0),COLUMN(バンド!Q$1))&amp;"", "")</f>
        <v>0</v>
      </c>
      <c r="AD15" t="str" cm="1">
        <f t="array" ref="AD15">IFERROR(INDEX(バンド!$A$1:$S$17,MATCH(タイムテーブル!$G15,バンド!$B$1:$B$17,0),COLUMN(バンド!R$1))&amp;"", "")</f>
        <v>0</v>
      </c>
      <c r="AE15" t="str" cm="1">
        <f t="array" ref="AE15">IFERROR(INDEX(バンド!$A$1:$S$17,MATCH(タイムテーブル!$G15,バンド!$B$1:$B$17,0),COLUMN(バンド!S$1))&amp;"", "")</f>
        <v>0</v>
      </c>
      <c r="AF15" t="str" cm="1">
        <f t="array" ref="AF15">_xlfn.IFS(X15&lt;&gt;"1", "", OR(AND(X$1&lt;$E15-$D15, $E15-$D15&lt;X$1+60), AND(X$1&lt;$E15, $E15&lt;X$1+60)), "×", TRUE, "")</f>
        <v/>
      </c>
      <c r="AG15" t="str" cm="1">
        <f t="array" ref="AG15">_xlfn.IFS(Y15&lt;&gt;"1", "", OR(AND(Y$1&lt;$E15-$D15, $E15-$D15&lt;Y$1+60), AND(Y$1&lt;$E15, $E15&lt;Y$1+60)), "×", TRUE, "")</f>
        <v/>
      </c>
      <c r="AH15" t="str" cm="1">
        <f t="array" ref="AH15">_xlfn.IFS(Z15&lt;&gt;"1", "", OR(AND(Z$1&lt;$E15-$D15, $E15-$D15&lt;Z$1+60), AND(Z$1&lt;$E15, $E15&lt;Z$1+60)), "×", TRUE, "")</f>
        <v/>
      </c>
      <c r="AI15" t="str" cm="1">
        <f t="array" ref="AI15">_xlfn.IFS(AA15&lt;&gt;"1", "", OR(AND(AA$1&lt;$E15-$D15, $E15-$D15&lt;AA$1+60), AND(AA$1&lt;$E15, $E15&lt;AA$1+60)), "×", TRUE, "")</f>
        <v/>
      </c>
      <c r="AJ15" t="str" cm="1">
        <f t="array" ref="AJ15">_xlfn.IFS(AB15&lt;&gt;"1", "", OR(AND(AB$1&lt;$E15-$D15, $E15-$D15&lt;AB$1+60), AND(AB$1&lt;$E15, $E15&lt;AB$1+60)), "×", TRUE, "")</f>
        <v/>
      </c>
      <c r="AK15" t="str" cm="1">
        <f t="array" ref="AK15">_xlfn.IFS(AC15&lt;&gt;"1", "", OR(AND(AC$1&lt;$E15-$D15, $E15-$D15&lt;AC$1+60), AND(AC$1&lt;$E15, $E15&lt;AC$1+60)), "×", TRUE, "")</f>
        <v/>
      </c>
      <c r="AL15" t="str" cm="1">
        <f t="array" ref="AL15">_xlfn.IFS(AD15&lt;&gt;"1", "", OR(AND(AD$1&lt;$E15-$D15, $E15-$D15&lt;AD$1+60), AND(AD$1&lt;$E15, $E15&lt;AD$1+60)), "×", TRUE, "")</f>
        <v/>
      </c>
      <c r="AM15" t="str" cm="1">
        <f t="array" ref="AM15">_xlfn.IFS(AE15&lt;&gt;"1", "", OR(AND(AE$1&lt;$E15-$D15, $E15-$D15&lt;AE$1+60), AND(AE$1&lt;$E15, $E15&lt;AE$1+60)), "×", TRUE, "")</f>
        <v/>
      </c>
    </row>
    <row r="16" spans="1:39">
      <c r="A16" s="5">
        <f t="shared" si="2"/>
        <v>0.49583333333333335</v>
      </c>
      <c r="B16" s="2" t="s">
        <v>33</v>
      </c>
      <c r="C16" s="6">
        <f t="shared" si="3"/>
        <v>0.49722222222222223</v>
      </c>
      <c r="D16" s="7">
        <v>2</v>
      </c>
      <c r="E16">
        <f t="shared" si="4"/>
        <v>176</v>
      </c>
      <c r="F16" t="s">
        <v>90</v>
      </c>
      <c r="H16" t="str">
        <f>IFERROR(INDEX(バンド!$A$1:$K$17,MATCH(タイムテーブル!$F16,バンド!$J$1:$J$17,0),11), "")</f>
        <v/>
      </c>
      <c r="I16" t="str">
        <f>IFERROR(INDEX(バンド!$A$1:$K$17,MATCH(タイムテーブル!$F16,バンド!$J$1:$J$17,0),11), "")</f>
        <v/>
      </c>
      <c r="J16" t="str">
        <f t="shared" si="0"/>
        <v/>
      </c>
      <c r="K16" t="str">
        <f t="shared" si="1"/>
        <v/>
      </c>
      <c r="L16" t="str" cm="1">
        <f t="array" ref="L16">IFERROR(INDEX(バンド!$A$1:$J$17,MATCH($G16,バンド!$B$1:$B$17,0),COLUMN(バンド!C$1))&amp;"", "")</f>
        <v/>
      </c>
      <c r="M16" t="str" cm="1">
        <f t="array" ref="M16">IFERROR(INDEX(バンド!$A$1:$J$17,MATCH($G16,バンド!$B$1:$B$17,0),COLUMN(バンド!D$1))&amp;"", "")</f>
        <v/>
      </c>
      <c r="N16" t="str" cm="1">
        <f t="array" ref="N16">IFERROR(INDEX(バンド!$A$1:$J$17,MATCH($G16,バンド!$B$1:$B$17,0),COLUMN(バンド!E$1))&amp;"", "")</f>
        <v/>
      </c>
      <c r="O16" t="str" cm="1">
        <f t="array" ref="O16">IFERROR(INDEX(バンド!$A$1:$J$17,MATCH($G16,バンド!$B$1:$B$17,0),COLUMN(バンド!F$1))&amp;"", "")</f>
        <v/>
      </c>
      <c r="P16" t="str" cm="1">
        <f t="array" ref="P16">IFERROR(INDEX(バンド!$A$1:$J$17,MATCH($G16,バンド!$B$1:$B$17,0),COLUMN(バンド!G$1))&amp;"", "")</f>
        <v/>
      </c>
      <c r="Q16" t="str" cm="1">
        <f t="array" ref="Q16">IFERROR(INDEX(バンド!$A$1:$J$17,MATCH($G16,バンド!$B$1:$B$17,0),COLUMN(バンド!H$1))&amp;"", "")</f>
        <v/>
      </c>
      <c r="R16" t="str" cm="1">
        <f t="array" ref="R16">_xlfn.IFS($I16="a", 0, L16="", "", TRUE, COUNTIF($L14:$Q14, L16))</f>
        <v/>
      </c>
      <c r="S16" t="str" cm="1">
        <f t="array" ref="S16">_xlfn.IFS($I16="a", 0, M16="", "", TRUE, COUNTIF($L14:$Q14, M16))</f>
        <v/>
      </c>
      <c r="T16" t="str" cm="1">
        <f t="array" ref="T16">_xlfn.IFS($I16="a", 0, N16="", "", TRUE, COUNTIF($L14:$Q14, N16))</f>
        <v/>
      </c>
      <c r="U16" t="str" cm="1">
        <f t="array" ref="U16">_xlfn.IFS($I16="a", 0, O16="", "", TRUE, COUNTIF($L14:$Q14, O16))</f>
        <v/>
      </c>
      <c r="V16" t="str" cm="1">
        <f t="array" ref="V16">_xlfn.IFS($I16="a", 0, P16="", "", TRUE, COUNTIF($L14:$Q14, P16))</f>
        <v/>
      </c>
      <c r="W16" t="str" cm="1">
        <f t="array" ref="W16">_xlfn.IFS($I16="a", 0, Q16="", "", TRUE, COUNTIF($L14:$Q14, Q16))</f>
        <v/>
      </c>
      <c r="X16" t="str" cm="1">
        <f t="array" ref="X16">IFERROR(INDEX(バンド!$A$1:$S$17,MATCH(タイムテーブル!$G16,バンド!$B$1:$B$17,0),COLUMN(バンド!L$1))&amp;"", "")</f>
        <v/>
      </c>
      <c r="Y16" t="str" cm="1">
        <f t="array" ref="Y16">IFERROR(INDEX(バンド!$A$1:$S$17,MATCH(タイムテーブル!$G16,バンド!$B$1:$B$17,0),COLUMN(バンド!M$1))&amp;"", "")</f>
        <v/>
      </c>
      <c r="Z16" t="str" cm="1">
        <f t="array" ref="Z16">IFERROR(INDEX(バンド!$A$1:$S$17,MATCH(タイムテーブル!$G16,バンド!$B$1:$B$17,0),COLUMN(バンド!N$1))&amp;"", "")</f>
        <v/>
      </c>
      <c r="AA16" t="str" cm="1">
        <f t="array" ref="AA16">IFERROR(INDEX(バンド!$A$1:$S$17,MATCH(タイムテーブル!$G16,バンド!$B$1:$B$17,0),COLUMN(バンド!O$1))&amp;"", "")</f>
        <v/>
      </c>
      <c r="AB16" t="str" cm="1">
        <f t="array" ref="AB16">IFERROR(INDEX(バンド!$A$1:$S$17,MATCH(タイムテーブル!$G16,バンド!$B$1:$B$17,0),COLUMN(バンド!P$1))&amp;"", "")</f>
        <v/>
      </c>
      <c r="AC16" t="str" cm="1">
        <f t="array" ref="AC16">IFERROR(INDEX(バンド!$A$1:$S$17,MATCH(タイムテーブル!$G16,バンド!$B$1:$B$17,0),COLUMN(バンド!Q$1))&amp;"", "")</f>
        <v/>
      </c>
      <c r="AD16" t="str" cm="1">
        <f t="array" ref="AD16">IFERROR(INDEX(バンド!$A$1:$S$17,MATCH(タイムテーブル!$G16,バンド!$B$1:$B$17,0),COLUMN(バンド!R$1))&amp;"", "")</f>
        <v/>
      </c>
      <c r="AE16" t="str" cm="1">
        <f t="array" ref="AE16">IFERROR(INDEX(バンド!$A$1:$S$17,MATCH(タイムテーブル!$G16,バンド!$B$1:$B$17,0),COLUMN(バンド!S$1))&amp;"", "")</f>
        <v/>
      </c>
      <c r="AF16" t="str" cm="1">
        <f t="array" ref="AF16">_xlfn.IFS(X16&lt;&gt;"1", "", OR(AND(X$1&lt;$E16-$D16, $E16-$D16&lt;X$1+60), AND(X$1&lt;$E16, $E16&lt;X$1+60)), "×", TRUE, "")</f>
        <v/>
      </c>
      <c r="AG16" t="str" cm="1">
        <f t="array" ref="AG16">_xlfn.IFS(Y16&lt;&gt;"1", "", OR(AND(Y$1&lt;$E16-$D16, $E16-$D16&lt;Y$1+60), AND(Y$1&lt;$E16, $E16&lt;Y$1+60)), "×", TRUE, "")</f>
        <v/>
      </c>
      <c r="AH16" t="str" cm="1">
        <f t="array" ref="AH16">_xlfn.IFS(Z16&lt;&gt;"1", "", OR(AND(Z$1&lt;$E16-$D16, $E16-$D16&lt;Z$1+60), AND(Z$1&lt;$E16, $E16&lt;Z$1+60)), "×", TRUE, "")</f>
        <v/>
      </c>
      <c r="AI16" t="str" cm="1">
        <f t="array" ref="AI16">_xlfn.IFS(AA16&lt;&gt;"1", "", OR(AND(AA$1&lt;$E16-$D16, $E16-$D16&lt;AA$1+60), AND(AA$1&lt;$E16, $E16&lt;AA$1+60)), "×", TRUE, "")</f>
        <v/>
      </c>
      <c r="AJ16" t="str" cm="1">
        <f t="array" ref="AJ16">_xlfn.IFS(AB16&lt;&gt;"1", "", OR(AND(AB$1&lt;$E16-$D16, $E16-$D16&lt;AB$1+60), AND(AB$1&lt;$E16, $E16&lt;AB$1+60)), "×", TRUE, "")</f>
        <v/>
      </c>
      <c r="AK16" t="str" cm="1">
        <f t="array" ref="AK16">_xlfn.IFS(AC16&lt;&gt;"1", "", OR(AND(AC$1&lt;$E16-$D16, $E16-$D16&lt;AC$1+60), AND(AC$1&lt;$E16, $E16&lt;AC$1+60)), "×", TRUE, "")</f>
        <v/>
      </c>
      <c r="AL16" t="str" cm="1">
        <f t="array" ref="AL16">_xlfn.IFS(AD16&lt;&gt;"1", "", OR(AND(AD$1&lt;$E16-$D16, $E16-$D16&lt;AD$1+60), AND(AD$1&lt;$E16, $E16&lt;AD$1+60)), "×", TRUE, "")</f>
        <v/>
      </c>
      <c r="AM16" t="str" cm="1">
        <f t="array" ref="AM16">_xlfn.IFS(AE16&lt;&gt;"1", "", OR(AND(AE$1&lt;$E16-$D16, $E16-$D16&lt;AE$1+60), AND(AE$1&lt;$E16, $E16&lt;AE$1+60)), "×", TRUE, "")</f>
        <v/>
      </c>
    </row>
    <row r="17" spans="1:39">
      <c r="A17" s="5">
        <f t="shared" si="2"/>
        <v>0.49722222222222223</v>
      </c>
      <c r="B17" s="2" t="s">
        <v>33</v>
      </c>
      <c r="C17" s="6">
        <f t="shared" ref="C17:C22" si="5">A17+D17/24/60</f>
        <v>0.50902777777777775</v>
      </c>
      <c r="D17" s="7">
        <v>17</v>
      </c>
      <c r="E17">
        <f t="shared" si="4"/>
        <v>193</v>
      </c>
      <c r="F17">
        <v>6</v>
      </c>
      <c r="G17" t="s">
        <v>56</v>
      </c>
      <c r="H17">
        <f>IFERROR(INDEX(バンド!$A$1:$K$17,MATCH(タイムテーブル!$F17,バンド!$J$1:$J$17,0),11), "")</f>
        <v>0</v>
      </c>
      <c r="I17">
        <f>IFERROR(INDEX(バンド!$A$1:$K$17,MATCH(タイムテーブル!$F17,バンド!$J$1:$J$17,0),11), "")</f>
        <v>0</v>
      </c>
      <c r="J17">
        <f t="shared" si="0"/>
        <v>0</v>
      </c>
      <c r="K17">
        <f t="shared" si="1"/>
        <v>0</v>
      </c>
      <c r="L17" t="str" cm="1">
        <f t="array" ref="L17">IFERROR(INDEX(バンド!$A$1:$J$17,MATCH($G17,バンド!$B$1:$B$17,0),COLUMN(バンド!C$1))&amp;"", "")</f>
        <v>21もろ</v>
      </c>
      <c r="M17" t="str" cm="1">
        <f t="array" ref="M17">IFERROR(INDEX(バンド!$A$1:$J$17,MATCH($G17,バンド!$B$1:$B$17,0),COLUMN(バンド!D$1))&amp;"", "")</f>
        <v>22mol</v>
      </c>
      <c r="N17" t="str" cm="1">
        <f t="array" ref="N17">IFERROR(INDEX(バンド!$A$1:$J$17,MATCH($G17,バンド!$B$1:$B$17,0),COLUMN(バンド!E$1))&amp;"", "")</f>
        <v>23しゅんや</v>
      </c>
      <c r="O17" t="str" cm="1">
        <f t="array" ref="O17">IFERROR(INDEX(バンド!$A$1:$J$17,MATCH($G17,バンド!$B$1:$B$17,0),COLUMN(バンド!F$1))&amp;"", "")</f>
        <v>23つかでぃー</v>
      </c>
      <c r="P17" t="str" cm="1">
        <f t="array" ref="P17">IFERROR(INDEX(バンド!$A$1:$J$17,MATCH($G17,バンド!$B$1:$B$17,0),COLUMN(バンド!G$1))&amp;"", "")</f>
        <v>23ちかぜ</v>
      </c>
      <c r="Q17" t="str" cm="1">
        <f t="array" ref="Q17">IFERROR(INDEX(バンド!$A$1:$J$17,MATCH($G17,バンド!$B$1:$B$17,0),COLUMN(バンド!H$1))&amp;"", "")</f>
        <v>23🈂️</v>
      </c>
      <c r="R17" cm="1">
        <f t="array" ref="R17">_xlfn.IFS($I17="a", 0, L17="", "", TRUE, COUNTIF($L15:$Q15, L17))</f>
        <v>0</v>
      </c>
      <c r="S17" cm="1">
        <f t="array" ref="S17">_xlfn.IFS($I17="a", 0, M17="", "", TRUE, COUNTIF($L15:$Q15, M17))</f>
        <v>0</v>
      </c>
      <c r="T17" cm="1">
        <f t="array" ref="T17">_xlfn.IFS($I17="a", 0, N17="", "", TRUE, COUNTIF($L15:$Q15, N17))</f>
        <v>0</v>
      </c>
      <c r="U17" cm="1">
        <f t="array" ref="U17">_xlfn.IFS($I17="a", 0, O17="", "", TRUE, COUNTIF($L15:$Q15, O17))</f>
        <v>0</v>
      </c>
      <c r="V17" cm="1">
        <f t="array" ref="V17">_xlfn.IFS($I17="a", 0, P17="", "", TRUE, COUNTIF($L15:$Q15, P17))</f>
        <v>0</v>
      </c>
      <c r="W17" cm="1">
        <f t="array" ref="W17">_xlfn.IFS($I17="a", 0, Q17="", "", TRUE, COUNTIF($L15:$Q15, Q17))</f>
        <v>0</v>
      </c>
      <c r="X17" t="str" cm="1">
        <f t="array" ref="X17">IFERROR(INDEX(バンド!$A$1:$S$17,MATCH(タイムテーブル!$G17,バンド!$B$1:$B$17,0),COLUMN(バンド!L$1))&amp;"", "")</f>
        <v>0</v>
      </c>
      <c r="Y17" t="str" cm="1">
        <f t="array" ref="Y17">IFERROR(INDEX(バンド!$A$1:$S$17,MATCH(タイムテーブル!$G17,バンド!$B$1:$B$17,0),COLUMN(バンド!M$1))&amp;"", "")</f>
        <v>0</v>
      </c>
      <c r="Z17" t="str" cm="1">
        <f t="array" ref="Z17">IFERROR(INDEX(バンド!$A$1:$S$17,MATCH(タイムテーブル!$G17,バンド!$B$1:$B$17,0),COLUMN(バンド!N$1))&amp;"", "")</f>
        <v>0</v>
      </c>
      <c r="AA17" t="str" cm="1">
        <f t="array" ref="AA17">IFERROR(INDEX(バンド!$A$1:$S$17,MATCH(タイムテーブル!$G17,バンド!$B$1:$B$17,0),COLUMN(バンド!O$1))&amp;"", "")</f>
        <v>0</v>
      </c>
      <c r="AB17" t="str" cm="1">
        <f t="array" ref="AB17">IFERROR(INDEX(バンド!$A$1:$S$17,MATCH(タイムテーブル!$G17,バンド!$B$1:$B$17,0),COLUMN(バンド!P$1))&amp;"", "")</f>
        <v>0</v>
      </c>
      <c r="AC17" t="str" cm="1">
        <f t="array" ref="AC17">IFERROR(INDEX(バンド!$A$1:$S$17,MATCH(タイムテーブル!$G17,バンド!$B$1:$B$17,0),COLUMN(バンド!Q$1))&amp;"", "")</f>
        <v>0</v>
      </c>
      <c r="AD17" t="str" cm="1">
        <f t="array" ref="AD17">IFERROR(INDEX(バンド!$A$1:$S$17,MATCH(タイムテーブル!$G17,バンド!$B$1:$B$17,0),COLUMN(バンド!R$1))&amp;"", "")</f>
        <v>0</v>
      </c>
      <c r="AE17" t="str" cm="1">
        <f t="array" ref="AE17">IFERROR(INDEX(バンド!$A$1:$S$17,MATCH(タイムテーブル!$G17,バンド!$B$1:$B$17,0),COLUMN(バンド!S$1))&amp;"", "")</f>
        <v>0</v>
      </c>
      <c r="AF17" t="str" cm="1">
        <f t="array" ref="AF17">_xlfn.IFS(X17&lt;&gt;"1", "", OR(AND(X$1&lt;$E17-$D17, $E17-$D17&lt;X$1+60), AND(X$1&lt;$E17, $E17&lt;X$1+60)), "×", TRUE, "")</f>
        <v/>
      </c>
      <c r="AG17" t="str" cm="1">
        <f t="array" ref="AG17">_xlfn.IFS(Y17&lt;&gt;"1", "", OR(AND(Y$1&lt;$E17-$D17, $E17-$D17&lt;Y$1+60), AND(Y$1&lt;$E17, $E17&lt;Y$1+60)), "×", TRUE, "")</f>
        <v/>
      </c>
      <c r="AH17" t="str" cm="1">
        <f t="array" ref="AH17">_xlfn.IFS(Z17&lt;&gt;"1", "", OR(AND(Z$1&lt;$E17-$D17, $E17-$D17&lt;Z$1+60), AND(Z$1&lt;$E17, $E17&lt;Z$1+60)), "×", TRUE, "")</f>
        <v/>
      </c>
      <c r="AI17" t="str" cm="1">
        <f t="array" ref="AI17">_xlfn.IFS(AA17&lt;&gt;"1", "", OR(AND(AA$1&lt;$E17-$D17, $E17-$D17&lt;AA$1+60), AND(AA$1&lt;$E17, $E17&lt;AA$1+60)), "×", TRUE, "")</f>
        <v/>
      </c>
      <c r="AJ17" t="str" cm="1">
        <f t="array" ref="AJ17">_xlfn.IFS(AB17&lt;&gt;"1", "", OR(AND(AB$1&lt;$E17-$D17, $E17-$D17&lt;AB$1+60), AND(AB$1&lt;$E17, $E17&lt;AB$1+60)), "×", TRUE, "")</f>
        <v/>
      </c>
      <c r="AK17" t="str" cm="1">
        <f t="array" ref="AK17">_xlfn.IFS(AC17&lt;&gt;"1", "", OR(AND(AC$1&lt;$E17-$D17, $E17-$D17&lt;AC$1+60), AND(AC$1&lt;$E17, $E17&lt;AC$1+60)), "×", TRUE, "")</f>
        <v/>
      </c>
      <c r="AL17" t="str" cm="1">
        <f t="array" ref="AL17">_xlfn.IFS(AD17&lt;&gt;"1", "", OR(AND(AD$1&lt;$E17-$D17, $E17-$D17&lt;AD$1+60), AND(AD$1&lt;$E17, $E17&lt;AD$1+60)), "×", TRUE, "")</f>
        <v/>
      </c>
      <c r="AM17" t="str" cm="1">
        <f t="array" ref="AM17">_xlfn.IFS(AE17&lt;&gt;"1", "", OR(AND(AE$1&lt;$E17-$D17, $E17-$D17&lt;AE$1+60), AND(AE$1&lt;$E17, $E17&lt;AE$1+60)), "×", TRUE, "")</f>
        <v/>
      </c>
    </row>
    <row r="18" spans="1:39">
      <c r="A18" s="5">
        <f t="shared" ref="A18:A22" si="6">C17</f>
        <v>0.50902777777777775</v>
      </c>
      <c r="B18" s="2" t="s">
        <v>33</v>
      </c>
      <c r="C18" s="6">
        <f t="shared" si="5"/>
        <v>0.51041666666666663</v>
      </c>
      <c r="D18" s="7">
        <v>2</v>
      </c>
      <c r="E18">
        <f t="shared" si="4"/>
        <v>195</v>
      </c>
      <c r="F18" t="s">
        <v>90</v>
      </c>
      <c r="H18" t="str">
        <f>IFERROR(INDEX(バンド!$A$1:$K$17,MATCH(タイムテーブル!$F18,バンド!$J$1:$J$17,0),11), "")</f>
        <v/>
      </c>
      <c r="I18" t="str">
        <f>IFERROR(INDEX(バンド!$A$1:$K$17,MATCH(タイムテーブル!$F18,バンド!$J$1:$J$17,0),11), "")</f>
        <v/>
      </c>
      <c r="J18" t="str">
        <f t="shared" si="0"/>
        <v/>
      </c>
      <c r="K18" t="str">
        <f t="shared" si="1"/>
        <v/>
      </c>
      <c r="L18" t="str" cm="1">
        <f t="array" ref="L18">IFERROR(INDEX(バンド!$A$1:$J$17,MATCH($G18,バンド!$B$1:$B$17,0),COLUMN(バンド!C$1))&amp;"", "")</f>
        <v/>
      </c>
      <c r="M18" t="str" cm="1">
        <f t="array" ref="M18">IFERROR(INDEX(バンド!$A$1:$J$17,MATCH($G18,バンド!$B$1:$B$17,0),COLUMN(バンド!D$1))&amp;"", "")</f>
        <v/>
      </c>
      <c r="N18" t="str" cm="1">
        <f t="array" ref="N18">IFERROR(INDEX(バンド!$A$1:$J$17,MATCH($G18,バンド!$B$1:$B$17,0),COLUMN(バンド!E$1))&amp;"", "")</f>
        <v/>
      </c>
      <c r="O18" t="str" cm="1">
        <f t="array" ref="O18">IFERROR(INDEX(バンド!$A$1:$J$17,MATCH($G18,バンド!$B$1:$B$17,0),COLUMN(バンド!F$1))&amp;"", "")</f>
        <v/>
      </c>
      <c r="P18" t="str" cm="1">
        <f t="array" ref="P18">IFERROR(INDEX(バンド!$A$1:$J$17,MATCH($G18,バンド!$B$1:$B$17,0),COLUMN(バンド!G$1))&amp;"", "")</f>
        <v/>
      </c>
      <c r="Q18" t="str" cm="1">
        <f t="array" ref="Q18">IFERROR(INDEX(バンド!$A$1:$J$17,MATCH($G18,バンド!$B$1:$B$17,0),COLUMN(バンド!H$1))&amp;"", "")</f>
        <v/>
      </c>
      <c r="R18" t="str" cm="1">
        <f t="array" ref="R18">_xlfn.IFS($I18="a", 0, L18="", "", TRUE, COUNTIF($L16:$Q16, L18))</f>
        <v/>
      </c>
      <c r="S18" t="str" cm="1">
        <f t="array" ref="S18">_xlfn.IFS($I18="a", 0, M18="", "", TRUE, COUNTIF($L16:$Q16, M18))</f>
        <v/>
      </c>
      <c r="T18" t="str" cm="1">
        <f t="array" ref="T18">_xlfn.IFS($I18="a", 0, N18="", "", TRUE, COUNTIF($L16:$Q16, N18))</f>
        <v/>
      </c>
      <c r="U18" t="str" cm="1">
        <f t="array" ref="U18">_xlfn.IFS($I18="a", 0, O18="", "", TRUE, COUNTIF($L16:$Q16, O18))</f>
        <v/>
      </c>
      <c r="V18" t="str" cm="1">
        <f t="array" ref="V18">_xlfn.IFS($I18="a", 0, P18="", "", TRUE, COUNTIF($L16:$Q16, P18))</f>
        <v/>
      </c>
      <c r="W18" t="str" cm="1">
        <f t="array" ref="W18">_xlfn.IFS($I18="a", 0, Q18="", "", TRUE, COUNTIF($L16:$Q16, Q18))</f>
        <v/>
      </c>
      <c r="X18" t="str" cm="1">
        <f t="array" ref="X18">IFERROR(INDEX(バンド!$A$1:$S$17,MATCH(タイムテーブル!$G18,バンド!$B$1:$B$17,0),COLUMN(バンド!L$1))&amp;"", "")</f>
        <v/>
      </c>
      <c r="Y18" t="str" cm="1">
        <f t="array" ref="Y18">IFERROR(INDEX(バンド!$A$1:$S$17,MATCH(タイムテーブル!$G18,バンド!$B$1:$B$17,0),COLUMN(バンド!M$1))&amp;"", "")</f>
        <v/>
      </c>
      <c r="Z18" t="str" cm="1">
        <f t="array" ref="Z18">IFERROR(INDEX(バンド!$A$1:$S$17,MATCH(タイムテーブル!$G18,バンド!$B$1:$B$17,0),COLUMN(バンド!N$1))&amp;"", "")</f>
        <v/>
      </c>
      <c r="AA18" t="str" cm="1">
        <f t="array" ref="AA18">IFERROR(INDEX(バンド!$A$1:$S$17,MATCH(タイムテーブル!$G18,バンド!$B$1:$B$17,0),COLUMN(バンド!O$1))&amp;"", "")</f>
        <v/>
      </c>
      <c r="AB18" t="str" cm="1">
        <f t="array" ref="AB18">IFERROR(INDEX(バンド!$A$1:$S$17,MATCH(タイムテーブル!$G18,バンド!$B$1:$B$17,0),COLUMN(バンド!P$1))&amp;"", "")</f>
        <v/>
      </c>
      <c r="AC18" t="str" cm="1">
        <f t="array" ref="AC18">IFERROR(INDEX(バンド!$A$1:$S$17,MATCH(タイムテーブル!$G18,バンド!$B$1:$B$17,0),COLUMN(バンド!Q$1))&amp;"", "")</f>
        <v/>
      </c>
      <c r="AD18" t="str" cm="1">
        <f t="array" ref="AD18">IFERROR(INDEX(バンド!$A$1:$S$17,MATCH(タイムテーブル!$G18,バンド!$B$1:$B$17,0),COLUMN(バンド!R$1))&amp;"", "")</f>
        <v/>
      </c>
      <c r="AE18" t="str" cm="1">
        <f t="array" ref="AE18">IFERROR(INDEX(バンド!$A$1:$S$17,MATCH(タイムテーブル!$G18,バンド!$B$1:$B$17,0),COLUMN(バンド!S$1))&amp;"", "")</f>
        <v/>
      </c>
      <c r="AF18" t="str" cm="1">
        <f t="array" ref="AF18">_xlfn.IFS(X18&lt;&gt;"1", "", OR(AND(X$1&lt;$E18-$D18, $E18-$D18&lt;X$1+60), AND(X$1&lt;$E18, $E18&lt;X$1+60)), "×", TRUE, "")</f>
        <v/>
      </c>
      <c r="AG18" t="str" cm="1">
        <f t="array" ref="AG18">_xlfn.IFS(Y18&lt;&gt;"1", "", OR(AND(Y$1&lt;$E18-$D18, $E18-$D18&lt;Y$1+60), AND(Y$1&lt;$E18, $E18&lt;Y$1+60)), "×", TRUE, "")</f>
        <v/>
      </c>
      <c r="AH18" t="str" cm="1">
        <f t="array" ref="AH18">_xlfn.IFS(Z18&lt;&gt;"1", "", OR(AND(Z$1&lt;$E18-$D18, $E18-$D18&lt;Z$1+60), AND(Z$1&lt;$E18, $E18&lt;Z$1+60)), "×", TRUE, "")</f>
        <v/>
      </c>
      <c r="AI18" t="str" cm="1">
        <f t="array" ref="AI18">_xlfn.IFS(AA18&lt;&gt;"1", "", OR(AND(AA$1&lt;$E18-$D18, $E18-$D18&lt;AA$1+60), AND(AA$1&lt;$E18, $E18&lt;AA$1+60)), "×", TRUE, "")</f>
        <v/>
      </c>
      <c r="AJ18" t="str" cm="1">
        <f t="array" ref="AJ18">_xlfn.IFS(AB18&lt;&gt;"1", "", OR(AND(AB$1&lt;$E18-$D18, $E18-$D18&lt;AB$1+60), AND(AB$1&lt;$E18, $E18&lt;AB$1+60)), "×", TRUE, "")</f>
        <v/>
      </c>
      <c r="AK18" t="str" cm="1">
        <f t="array" ref="AK18">_xlfn.IFS(AC18&lt;&gt;"1", "", OR(AND(AC$1&lt;$E18-$D18, $E18-$D18&lt;AC$1+60), AND(AC$1&lt;$E18, $E18&lt;AC$1+60)), "×", TRUE, "")</f>
        <v/>
      </c>
      <c r="AL18" t="str" cm="1">
        <f t="array" ref="AL18">_xlfn.IFS(AD18&lt;&gt;"1", "", OR(AND(AD$1&lt;$E18-$D18, $E18-$D18&lt;AD$1+60), AND(AD$1&lt;$E18, $E18&lt;AD$1+60)), "×", TRUE, "")</f>
        <v/>
      </c>
      <c r="AM18" t="str" cm="1">
        <f t="array" ref="AM18">_xlfn.IFS(AE18&lt;&gt;"1", "", OR(AND(AE$1&lt;$E18-$D18, $E18-$D18&lt;AE$1+60), AND(AE$1&lt;$E18, $E18&lt;AE$1+60)), "×", TRUE, "")</f>
        <v/>
      </c>
    </row>
    <row r="19" spans="1:39">
      <c r="A19" s="5">
        <f t="shared" si="6"/>
        <v>0.51041666666666663</v>
      </c>
      <c r="B19" s="2" t="s">
        <v>33</v>
      </c>
      <c r="C19" s="6">
        <f t="shared" si="5"/>
        <v>0.52222222222222214</v>
      </c>
      <c r="D19" s="7">
        <v>17</v>
      </c>
      <c r="E19">
        <f t="shared" si="4"/>
        <v>212</v>
      </c>
      <c r="F19">
        <v>7</v>
      </c>
      <c r="G19" t="s">
        <v>55</v>
      </c>
      <c r="H19">
        <f>IFERROR(INDEX(バンド!$A$1:$K$17,MATCH(タイムテーブル!$F19,バンド!$J$1:$J$17,0),11), "")</f>
        <v>0</v>
      </c>
      <c r="I19">
        <f>IFERROR(INDEX(バンド!$A$1:$K$17,MATCH(タイムテーブル!$F19,バンド!$J$1:$J$17,0),11), "")</f>
        <v>0</v>
      </c>
      <c r="J19">
        <f t="shared" si="0"/>
        <v>0</v>
      </c>
      <c r="K19">
        <f t="shared" si="1"/>
        <v>0</v>
      </c>
      <c r="L19" t="str" cm="1">
        <f t="array" ref="L19">IFERROR(INDEX(バンド!$A$1:$J$17,MATCH($G19,バンド!$B$1:$B$17,0),COLUMN(バンド!C$1))&amp;"", "")</f>
        <v>21まお</v>
      </c>
      <c r="M19" t="str" cm="1">
        <f t="array" ref="M19">IFERROR(INDEX(バンド!$A$1:$J$17,MATCH($G19,バンド!$B$1:$B$17,0),COLUMN(バンド!D$1))&amp;"", "")</f>
        <v>21けんたろう</v>
      </c>
      <c r="N19" t="str" cm="1">
        <f t="array" ref="N19">IFERROR(INDEX(バンド!$A$1:$J$17,MATCH($G19,バンド!$B$1:$B$17,0),COLUMN(バンド!E$1))&amp;"", "")</f>
        <v>21もも</v>
      </c>
      <c r="O19" t="str" cm="1">
        <f t="array" ref="O19">IFERROR(INDEX(バンド!$A$1:$J$17,MATCH($G19,バンド!$B$1:$B$17,0),COLUMN(バンド!F$1))&amp;"", "")</f>
        <v>22ゆうくん</v>
      </c>
      <c r="P19" t="str" cm="1">
        <f t="array" ref="P19">IFERROR(INDEX(バンド!$A$1:$J$17,MATCH($G19,バンド!$B$1:$B$17,0),COLUMN(バンド!G$1))&amp;"", "")</f>
        <v>23あさぴん</v>
      </c>
      <c r="Q19" t="str" cm="1">
        <f t="array" ref="Q19">IFERROR(INDEX(バンド!$A$1:$J$17,MATCH($G19,バンド!$B$1:$B$17,0),COLUMN(バンド!H$1))&amp;"", "")</f>
        <v>23馬</v>
      </c>
      <c r="R19" cm="1">
        <f t="array" ref="R19">_xlfn.IFS($I19="a", 0, L19="", "", TRUE, COUNTIF($L17:$Q17, L19))</f>
        <v>0</v>
      </c>
      <c r="S19" cm="1">
        <f t="array" ref="S19">_xlfn.IFS($I19="a", 0, M19="", "", TRUE, COUNTIF($L17:$Q17, M19))</f>
        <v>0</v>
      </c>
      <c r="T19" cm="1">
        <f t="array" ref="T19">_xlfn.IFS($I19="a", 0, N19="", "", TRUE, COUNTIF($L17:$Q17, N19))</f>
        <v>0</v>
      </c>
      <c r="U19" cm="1">
        <f t="array" ref="U19">_xlfn.IFS($I19="a", 0, O19="", "", TRUE, COUNTIF($L17:$Q17, O19))</f>
        <v>0</v>
      </c>
      <c r="V19" cm="1">
        <f t="array" ref="V19">_xlfn.IFS($I19="a", 0, P19="", "", TRUE, COUNTIF($L17:$Q17, P19))</f>
        <v>0</v>
      </c>
      <c r="W19" cm="1">
        <f t="array" ref="W19">_xlfn.IFS($I19="a", 0, Q19="", "", TRUE, COUNTIF($L17:$Q17, Q19))</f>
        <v>0</v>
      </c>
      <c r="X19" t="str" cm="1">
        <f t="array" ref="X19">IFERROR(INDEX(バンド!$A$1:$S$17,MATCH(タイムテーブル!$G19,バンド!$B$1:$B$17,0),COLUMN(バンド!L$1))&amp;"", "")</f>
        <v>0</v>
      </c>
      <c r="Y19" t="str" cm="1">
        <f t="array" ref="Y19">IFERROR(INDEX(バンド!$A$1:$S$17,MATCH(タイムテーブル!$G19,バンド!$B$1:$B$17,0),COLUMN(バンド!M$1))&amp;"", "")</f>
        <v>0</v>
      </c>
      <c r="Z19" t="str" cm="1">
        <f t="array" ref="Z19">IFERROR(INDEX(バンド!$A$1:$S$17,MATCH(タイムテーブル!$G19,バンド!$B$1:$B$17,0),COLUMN(バンド!N$1))&amp;"", "")</f>
        <v>0</v>
      </c>
      <c r="AA19" t="str" cm="1">
        <f t="array" ref="AA19">IFERROR(INDEX(バンド!$A$1:$S$17,MATCH(タイムテーブル!$G19,バンド!$B$1:$B$17,0),COLUMN(バンド!O$1))&amp;"", "")</f>
        <v>0</v>
      </c>
      <c r="AB19" t="str" cm="1">
        <f t="array" ref="AB19">IFERROR(INDEX(バンド!$A$1:$S$17,MATCH(タイムテーブル!$G19,バンド!$B$1:$B$17,0),COLUMN(バンド!P$1))&amp;"", "")</f>
        <v>0</v>
      </c>
      <c r="AC19" t="str" cm="1">
        <f t="array" ref="AC19">IFERROR(INDEX(バンド!$A$1:$S$17,MATCH(タイムテーブル!$G19,バンド!$B$1:$B$17,0),COLUMN(バンド!Q$1))&amp;"", "")</f>
        <v>0</v>
      </c>
      <c r="AD19" t="str" cm="1">
        <f t="array" ref="AD19">IFERROR(INDEX(バンド!$A$1:$S$17,MATCH(タイムテーブル!$G19,バンド!$B$1:$B$17,0),COLUMN(バンド!R$1))&amp;"", "")</f>
        <v>0</v>
      </c>
      <c r="AE19" t="str" cm="1">
        <f t="array" ref="AE19">IFERROR(INDEX(バンド!$A$1:$S$17,MATCH(タイムテーブル!$G19,バンド!$B$1:$B$17,0),COLUMN(バンド!S$1))&amp;"", "")</f>
        <v>0</v>
      </c>
      <c r="AF19" t="str" cm="1">
        <f t="array" ref="AF19">_xlfn.IFS(X19&lt;&gt;"1", "", OR(AND(X$1&lt;$E19-$D19, $E19-$D19&lt;X$1+60), AND(X$1&lt;$E19, $E19&lt;X$1+60)), "×", TRUE, "")</f>
        <v/>
      </c>
      <c r="AG19" t="str" cm="1">
        <f t="array" ref="AG19">_xlfn.IFS(Y19&lt;&gt;"1", "", OR(AND(Y$1&lt;$E19-$D19, $E19-$D19&lt;Y$1+60), AND(Y$1&lt;$E19, $E19&lt;Y$1+60)), "×", TRUE, "")</f>
        <v/>
      </c>
      <c r="AH19" t="str" cm="1">
        <f t="array" ref="AH19">_xlfn.IFS(Z19&lt;&gt;"1", "", OR(AND(Z$1&lt;$E19-$D19, $E19-$D19&lt;Z$1+60), AND(Z$1&lt;$E19, $E19&lt;Z$1+60)), "×", TRUE, "")</f>
        <v/>
      </c>
      <c r="AI19" t="str" cm="1">
        <f t="array" ref="AI19">_xlfn.IFS(AA19&lt;&gt;"1", "", OR(AND(AA$1&lt;$E19-$D19, $E19-$D19&lt;AA$1+60), AND(AA$1&lt;$E19, $E19&lt;AA$1+60)), "×", TRUE, "")</f>
        <v/>
      </c>
      <c r="AJ19" t="str" cm="1">
        <f t="array" ref="AJ19">_xlfn.IFS(AB19&lt;&gt;"1", "", OR(AND(AB$1&lt;$E19-$D19, $E19-$D19&lt;AB$1+60), AND(AB$1&lt;$E19, $E19&lt;AB$1+60)), "×", TRUE, "")</f>
        <v/>
      </c>
      <c r="AK19" t="str" cm="1">
        <f t="array" ref="AK19">_xlfn.IFS(AC19&lt;&gt;"1", "", OR(AND(AC$1&lt;$E19-$D19, $E19-$D19&lt;AC$1+60), AND(AC$1&lt;$E19, $E19&lt;AC$1+60)), "×", TRUE, "")</f>
        <v/>
      </c>
      <c r="AL19" t="str" cm="1">
        <f t="array" ref="AL19">_xlfn.IFS(AD19&lt;&gt;"1", "", OR(AND(AD$1&lt;$E19-$D19, $E19-$D19&lt;AD$1+60), AND(AD$1&lt;$E19, $E19&lt;AD$1+60)), "×", TRUE, "")</f>
        <v/>
      </c>
      <c r="AM19" t="str" cm="1">
        <f t="array" ref="AM19">_xlfn.IFS(AE19&lt;&gt;"1", "", OR(AND(AE$1&lt;$E19-$D19, $E19-$D19&lt;AE$1+60), AND(AE$1&lt;$E19, $E19&lt;AE$1+60)), "×", TRUE, "")</f>
        <v/>
      </c>
    </row>
    <row r="20" spans="1:39">
      <c r="A20" s="5">
        <f t="shared" si="6"/>
        <v>0.52222222222222214</v>
      </c>
      <c r="B20" s="2" t="s">
        <v>33</v>
      </c>
      <c r="C20" s="6">
        <f t="shared" si="5"/>
        <v>0.52361111111111103</v>
      </c>
      <c r="D20" s="7">
        <v>2</v>
      </c>
      <c r="E20">
        <f t="shared" si="4"/>
        <v>214</v>
      </c>
      <c r="F20" t="s">
        <v>90</v>
      </c>
      <c r="H20" t="str">
        <f>IFERROR(INDEX(バンド!$A$1:$K$17,MATCH(タイムテーブル!$F20,バンド!$J$1:$J$17,0),11), "")</f>
        <v/>
      </c>
      <c r="I20" t="str">
        <f>IFERROR(INDEX(バンド!$A$1:$K$17,MATCH(タイムテーブル!$F20,バンド!$J$1:$J$17,0),11), "")</f>
        <v/>
      </c>
      <c r="J20" t="str">
        <f t="shared" si="0"/>
        <v/>
      </c>
      <c r="K20" t="str">
        <f t="shared" si="1"/>
        <v/>
      </c>
      <c r="L20" t="str" cm="1">
        <f t="array" ref="L20">IFERROR(INDEX(バンド!$A$1:$J$17,MATCH($G20,バンド!$B$1:$B$17,0),COLUMN(バンド!C$1))&amp;"", "")</f>
        <v/>
      </c>
      <c r="M20" t="str" cm="1">
        <f t="array" ref="M20">IFERROR(INDEX(バンド!$A$1:$J$17,MATCH($G20,バンド!$B$1:$B$17,0),COLUMN(バンド!D$1))&amp;"", "")</f>
        <v/>
      </c>
      <c r="N20" t="str" cm="1">
        <f t="array" ref="N20">IFERROR(INDEX(バンド!$A$1:$J$17,MATCH($G20,バンド!$B$1:$B$17,0),COLUMN(バンド!E$1))&amp;"", "")</f>
        <v/>
      </c>
      <c r="O20" t="str" cm="1">
        <f t="array" ref="O20">IFERROR(INDEX(バンド!$A$1:$J$17,MATCH($G20,バンド!$B$1:$B$17,0),COLUMN(バンド!F$1))&amp;"", "")</f>
        <v/>
      </c>
      <c r="P20" t="str" cm="1">
        <f t="array" ref="P20">IFERROR(INDEX(バンド!$A$1:$J$17,MATCH($G20,バンド!$B$1:$B$17,0),COLUMN(バンド!G$1))&amp;"", "")</f>
        <v/>
      </c>
      <c r="Q20" t="str" cm="1">
        <f t="array" ref="Q20">IFERROR(INDEX(バンド!$A$1:$J$17,MATCH($G20,バンド!$B$1:$B$17,0),COLUMN(バンド!H$1))&amp;"", "")</f>
        <v/>
      </c>
      <c r="R20" t="str" cm="1">
        <f t="array" ref="R20">_xlfn.IFS($I20="a", 0, L20="", "", TRUE, COUNTIF($L18:$Q18, L20))</f>
        <v/>
      </c>
      <c r="S20" t="str" cm="1">
        <f t="array" ref="S20">_xlfn.IFS($I20="a", 0, M20="", "", TRUE, COUNTIF($L18:$Q18, M20))</f>
        <v/>
      </c>
      <c r="T20" t="str" cm="1">
        <f t="array" ref="T20">_xlfn.IFS($I20="a", 0, N20="", "", TRUE, COUNTIF($L18:$Q18, N20))</f>
        <v/>
      </c>
      <c r="U20" t="str" cm="1">
        <f t="array" ref="U20">_xlfn.IFS($I20="a", 0, O20="", "", TRUE, COUNTIF($L18:$Q18, O20))</f>
        <v/>
      </c>
      <c r="V20" t="str" cm="1">
        <f t="array" ref="V20">_xlfn.IFS($I20="a", 0, P20="", "", TRUE, COUNTIF($L18:$Q18, P20))</f>
        <v/>
      </c>
      <c r="W20" t="str" cm="1">
        <f t="array" ref="W20">_xlfn.IFS($I20="a", 0, Q20="", "", TRUE, COUNTIF($L18:$Q18, Q20))</f>
        <v/>
      </c>
      <c r="X20" t="str" cm="1">
        <f t="array" ref="X20">IFERROR(INDEX(バンド!$A$1:$S$17,MATCH(タイムテーブル!$G20,バンド!$B$1:$B$17,0),COLUMN(バンド!L$1))&amp;"", "")</f>
        <v/>
      </c>
      <c r="Y20" t="str" cm="1">
        <f t="array" ref="Y20">IFERROR(INDEX(バンド!$A$1:$S$17,MATCH(タイムテーブル!$G20,バンド!$B$1:$B$17,0),COLUMN(バンド!M$1))&amp;"", "")</f>
        <v/>
      </c>
      <c r="Z20" t="str" cm="1">
        <f t="array" ref="Z20">IFERROR(INDEX(バンド!$A$1:$S$17,MATCH(タイムテーブル!$G20,バンド!$B$1:$B$17,0),COLUMN(バンド!N$1))&amp;"", "")</f>
        <v/>
      </c>
      <c r="AA20" t="str" cm="1">
        <f t="array" ref="AA20">IFERROR(INDEX(バンド!$A$1:$S$17,MATCH(タイムテーブル!$G20,バンド!$B$1:$B$17,0),COLUMN(バンド!O$1))&amp;"", "")</f>
        <v/>
      </c>
      <c r="AB20" t="str" cm="1">
        <f t="array" ref="AB20">IFERROR(INDEX(バンド!$A$1:$S$17,MATCH(タイムテーブル!$G20,バンド!$B$1:$B$17,0),COLUMN(バンド!P$1))&amp;"", "")</f>
        <v/>
      </c>
      <c r="AC20" t="str" cm="1">
        <f t="array" ref="AC20">IFERROR(INDEX(バンド!$A$1:$S$17,MATCH(タイムテーブル!$G20,バンド!$B$1:$B$17,0),COLUMN(バンド!Q$1))&amp;"", "")</f>
        <v/>
      </c>
      <c r="AD20" t="str" cm="1">
        <f t="array" ref="AD20">IFERROR(INDEX(バンド!$A$1:$S$17,MATCH(タイムテーブル!$G20,バンド!$B$1:$B$17,0),COLUMN(バンド!R$1))&amp;"", "")</f>
        <v/>
      </c>
      <c r="AE20" t="str" cm="1">
        <f t="array" ref="AE20">IFERROR(INDEX(バンド!$A$1:$S$17,MATCH(タイムテーブル!$G20,バンド!$B$1:$B$17,0),COLUMN(バンド!S$1))&amp;"", "")</f>
        <v/>
      </c>
      <c r="AF20" t="str" cm="1">
        <f t="array" ref="AF20">_xlfn.IFS(X20&lt;&gt;"1", "", OR(AND(X$1&lt;$E20-$D20, $E20-$D20&lt;X$1+60), AND(X$1&lt;$E20, $E20&lt;X$1+60)), "×", TRUE, "")</f>
        <v/>
      </c>
      <c r="AG20" t="str" cm="1">
        <f t="array" ref="AG20">_xlfn.IFS(Y20&lt;&gt;"1", "", OR(AND(Y$1&lt;$E20-$D20, $E20-$D20&lt;Y$1+60), AND(Y$1&lt;$E20, $E20&lt;Y$1+60)), "×", TRUE, "")</f>
        <v/>
      </c>
      <c r="AH20" t="str" cm="1">
        <f t="array" ref="AH20">_xlfn.IFS(Z20&lt;&gt;"1", "", OR(AND(Z$1&lt;$E20-$D20, $E20-$D20&lt;Z$1+60), AND(Z$1&lt;$E20, $E20&lt;Z$1+60)), "×", TRUE, "")</f>
        <v/>
      </c>
      <c r="AI20" t="str" cm="1">
        <f t="array" ref="AI20">_xlfn.IFS(AA20&lt;&gt;"1", "", OR(AND(AA$1&lt;$E20-$D20, $E20-$D20&lt;AA$1+60), AND(AA$1&lt;$E20, $E20&lt;AA$1+60)), "×", TRUE, "")</f>
        <v/>
      </c>
      <c r="AJ20" t="str" cm="1">
        <f t="array" ref="AJ20">_xlfn.IFS(AB20&lt;&gt;"1", "", OR(AND(AB$1&lt;$E20-$D20, $E20-$D20&lt;AB$1+60), AND(AB$1&lt;$E20, $E20&lt;AB$1+60)), "×", TRUE, "")</f>
        <v/>
      </c>
      <c r="AK20" t="str" cm="1">
        <f t="array" ref="AK20">_xlfn.IFS(AC20&lt;&gt;"1", "", OR(AND(AC$1&lt;$E20-$D20, $E20-$D20&lt;AC$1+60), AND(AC$1&lt;$E20, $E20&lt;AC$1+60)), "×", TRUE, "")</f>
        <v/>
      </c>
      <c r="AL20" t="str" cm="1">
        <f t="array" ref="AL20">_xlfn.IFS(AD20&lt;&gt;"1", "", OR(AND(AD$1&lt;$E20-$D20, $E20-$D20&lt;AD$1+60), AND(AD$1&lt;$E20, $E20&lt;AD$1+60)), "×", TRUE, "")</f>
        <v/>
      </c>
      <c r="AM20" t="str" cm="1">
        <f t="array" ref="AM20">_xlfn.IFS(AE20&lt;&gt;"1", "", OR(AND(AE$1&lt;$E20-$D20, $E20-$D20&lt;AE$1+60), AND(AE$1&lt;$E20, $E20&lt;AE$1+60)), "×", TRUE, "")</f>
        <v/>
      </c>
    </row>
    <row r="21" spans="1:39">
      <c r="A21" s="5">
        <f t="shared" si="6"/>
        <v>0.52361111111111103</v>
      </c>
      <c r="B21" s="2" t="s">
        <v>33</v>
      </c>
      <c r="C21" s="6">
        <f t="shared" si="5"/>
        <v>0.53541666666666654</v>
      </c>
      <c r="D21" s="7">
        <v>17</v>
      </c>
      <c r="E21">
        <f t="shared" si="4"/>
        <v>231</v>
      </c>
      <c r="F21">
        <v>8</v>
      </c>
      <c r="G21" t="s">
        <v>80</v>
      </c>
      <c r="H21">
        <f>IFERROR(INDEX(バンド!$A$1:$K$17,MATCH(タイムテーブル!$F21,バンド!$J$1:$J$17,0),11), "")</f>
        <v>0</v>
      </c>
      <c r="I21">
        <f>IFERROR(INDEX(バンド!$A$1:$K$17,MATCH(タイムテーブル!$F21,バンド!$J$1:$J$17,0),11), "")</f>
        <v>0</v>
      </c>
      <c r="J21">
        <f t="shared" si="0"/>
        <v>0</v>
      </c>
      <c r="K21">
        <f t="shared" si="1"/>
        <v>0</v>
      </c>
      <c r="L21" t="str" cm="1">
        <f t="array" ref="L21">IFERROR(INDEX(バンド!$A$1:$J$17,MATCH($G21,バンド!$B$1:$B$17,0),COLUMN(バンド!C$1))&amp;"", "")</f>
        <v>21かこ</v>
      </c>
      <c r="M21" t="str" cm="1">
        <f t="array" ref="M21">IFERROR(INDEX(バンド!$A$1:$J$17,MATCH($G21,バンド!$B$1:$B$17,0),COLUMN(バンド!D$1))&amp;"", "")</f>
        <v>22よしもち</v>
      </c>
      <c r="N21" t="str" cm="1">
        <f t="array" ref="N21">IFERROR(INDEX(バンド!$A$1:$J$17,MATCH($G21,バンド!$B$1:$B$17,0),COLUMN(バンド!E$1))&amp;"", "")</f>
        <v>23つかでぃー</v>
      </c>
      <c r="O21" t="str" cm="1">
        <f t="array" ref="O21">IFERROR(INDEX(バンド!$A$1:$J$17,MATCH($G21,バンド!$B$1:$B$17,0),COLUMN(バンド!F$1))&amp;"", "")</f>
        <v>23みく</v>
      </c>
      <c r="P21" t="str" cm="1">
        <f t="array" ref="P21">IFERROR(INDEX(バンド!$A$1:$J$17,MATCH($G21,バンド!$B$1:$B$17,0),COLUMN(バンド!G$1))&amp;"", "")</f>
        <v/>
      </c>
      <c r="Q21" t="str" cm="1">
        <f t="array" ref="Q21">IFERROR(INDEX(バンド!$A$1:$J$17,MATCH($G21,バンド!$B$1:$B$17,0),COLUMN(バンド!H$1))&amp;"", "")</f>
        <v/>
      </c>
      <c r="R21" cm="1">
        <f t="array" ref="R21">_xlfn.IFS($I21="a", 0, L21="", "", TRUE, COUNTIF($L19:$Q19, L21))</f>
        <v>0</v>
      </c>
      <c r="S21" cm="1">
        <f t="array" ref="S21">_xlfn.IFS($I21="a", 0, M21="", "", TRUE, COUNTIF($L19:$Q19, M21))</f>
        <v>0</v>
      </c>
      <c r="T21" cm="1">
        <f t="array" ref="T21">_xlfn.IFS($I21="a", 0, N21="", "", TRUE, COUNTIF($L19:$Q19, N21))</f>
        <v>0</v>
      </c>
      <c r="U21" cm="1">
        <f t="array" ref="U21">_xlfn.IFS($I21="a", 0, O21="", "", TRUE, COUNTIF($L19:$Q19, O21))</f>
        <v>0</v>
      </c>
      <c r="V21" t="str" cm="1">
        <f t="array" ref="V21">_xlfn.IFS($I21="a", 0, P21="", "", TRUE, COUNTIF($L19:$Q19, P21))</f>
        <v/>
      </c>
      <c r="W21" t="str" cm="1">
        <f t="array" ref="W21">_xlfn.IFS($I21="a", 0, Q21="", "", TRUE, COUNTIF($L19:$Q19, Q21))</f>
        <v/>
      </c>
      <c r="X21" t="str" cm="1">
        <f t="array" ref="X21">IFERROR(INDEX(バンド!$A$1:$S$17,MATCH(タイムテーブル!$G21,バンド!$B$1:$B$17,0),COLUMN(バンド!L$1))&amp;"", "")</f>
        <v>0</v>
      </c>
      <c r="Y21" t="str" cm="1">
        <f t="array" ref="Y21">IFERROR(INDEX(バンド!$A$1:$S$17,MATCH(タイムテーブル!$G21,バンド!$B$1:$B$17,0),COLUMN(バンド!M$1))&amp;"", "")</f>
        <v>0</v>
      </c>
      <c r="Z21" t="str" cm="1">
        <f t="array" ref="Z21">IFERROR(INDEX(バンド!$A$1:$S$17,MATCH(タイムテーブル!$G21,バンド!$B$1:$B$17,0),COLUMN(バンド!N$1))&amp;"", "")</f>
        <v>0</v>
      </c>
      <c r="AA21" t="str" cm="1">
        <f t="array" ref="AA21">IFERROR(INDEX(バンド!$A$1:$S$17,MATCH(タイムテーブル!$G21,バンド!$B$1:$B$17,0),COLUMN(バンド!O$1))&amp;"", "")</f>
        <v>0</v>
      </c>
      <c r="AB21" t="str" cm="1">
        <f t="array" ref="AB21">IFERROR(INDEX(バンド!$A$1:$S$17,MATCH(タイムテーブル!$G21,バンド!$B$1:$B$17,0),COLUMN(バンド!P$1))&amp;"", "")</f>
        <v>0</v>
      </c>
      <c r="AC21" t="str" cm="1">
        <f t="array" ref="AC21">IFERROR(INDEX(バンド!$A$1:$S$17,MATCH(タイムテーブル!$G21,バンド!$B$1:$B$17,0),COLUMN(バンド!Q$1))&amp;"", "")</f>
        <v>0</v>
      </c>
      <c r="AD21" t="str" cm="1">
        <f t="array" ref="AD21">IFERROR(INDEX(バンド!$A$1:$S$17,MATCH(タイムテーブル!$G21,バンド!$B$1:$B$17,0),COLUMN(バンド!R$1))&amp;"", "")</f>
        <v>0</v>
      </c>
      <c r="AE21" t="str" cm="1">
        <f t="array" ref="AE21">IFERROR(INDEX(バンド!$A$1:$S$17,MATCH(タイムテーブル!$G21,バンド!$B$1:$B$17,0),COLUMN(バンド!S$1))&amp;"", "")</f>
        <v>0</v>
      </c>
      <c r="AF21" t="str" cm="1">
        <f t="array" ref="AF21">_xlfn.IFS(X21&lt;&gt;"1", "", OR(AND(X$1&lt;$E21-$D21, $E21-$D21&lt;X$1+60), AND(X$1&lt;$E21, $E21&lt;X$1+60)), "×", TRUE, "")</f>
        <v/>
      </c>
      <c r="AG21" t="str" cm="1">
        <f t="array" ref="AG21">_xlfn.IFS(Y21&lt;&gt;"1", "", OR(AND(Y$1&lt;$E21-$D21, $E21-$D21&lt;Y$1+60), AND(Y$1&lt;$E21, $E21&lt;Y$1+60)), "×", TRUE, "")</f>
        <v/>
      </c>
      <c r="AH21" t="str" cm="1">
        <f t="array" ref="AH21">_xlfn.IFS(Z21&lt;&gt;"1", "", OR(AND(Z$1&lt;$E21-$D21, $E21-$D21&lt;Z$1+60), AND(Z$1&lt;$E21, $E21&lt;Z$1+60)), "×", TRUE, "")</f>
        <v/>
      </c>
      <c r="AI21" t="str" cm="1">
        <f t="array" ref="AI21">_xlfn.IFS(AA21&lt;&gt;"1", "", OR(AND(AA$1&lt;$E21-$D21, $E21-$D21&lt;AA$1+60), AND(AA$1&lt;$E21, $E21&lt;AA$1+60)), "×", TRUE, "")</f>
        <v/>
      </c>
      <c r="AJ21" t="str" cm="1">
        <f t="array" ref="AJ21">_xlfn.IFS(AB21&lt;&gt;"1", "", OR(AND(AB$1&lt;$E21-$D21, $E21-$D21&lt;AB$1+60), AND(AB$1&lt;$E21, $E21&lt;AB$1+60)), "×", TRUE, "")</f>
        <v/>
      </c>
      <c r="AK21" t="str" cm="1">
        <f t="array" ref="AK21">_xlfn.IFS(AC21&lt;&gt;"1", "", OR(AND(AC$1&lt;$E21-$D21, $E21-$D21&lt;AC$1+60), AND(AC$1&lt;$E21, $E21&lt;AC$1+60)), "×", TRUE, "")</f>
        <v/>
      </c>
      <c r="AL21" t="str" cm="1">
        <f t="array" ref="AL21">_xlfn.IFS(AD21&lt;&gt;"1", "", OR(AND(AD$1&lt;$E21-$D21, $E21-$D21&lt;AD$1+60), AND(AD$1&lt;$E21, $E21&lt;AD$1+60)), "×", TRUE, "")</f>
        <v/>
      </c>
      <c r="AM21" t="str" cm="1">
        <f t="array" ref="AM21">_xlfn.IFS(AE21&lt;&gt;"1", "", OR(AND(AE$1&lt;$E21-$D21, $E21-$D21&lt;AE$1+60), AND(AE$1&lt;$E21, $E21&lt;AE$1+60)), "×", TRUE, "")</f>
        <v/>
      </c>
    </row>
    <row r="22" spans="1:39">
      <c r="A22" s="5">
        <f t="shared" si="6"/>
        <v>0.53541666666666654</v>
      </c>
      <c r="B22" s="2" t="s">
        <v>33</v>
      </c>
      <c r="C22" s="6">
        <f t="shared" si="5"/>
        <v>0.54930555555555538</v>
      </c>
      <c r="D22" s="7">
        <v>20</v>
      </c>
      <c r="E22">
        <f t="shared" si="4"/>
        <v>251</v>
      </c>
      <c r="F22" t="s">
        <v>91</v>
      </c>
      <c r="H22" t="str">
        <f>IFERROR(INDEX(バンド!$A$1:$K$17,MATCH(タイムテーブル!$F22,バンド!$J$1:$J$17,0),11), "")</f>
        <v/>
      </c>
      <c r="I22" t="str">
        <f>IFERROR(INDEX(バンド!$A$1:$K$17,MATCH(タイムテーブル!$F22,バンド!$J$1:$J$17,0),11), "")</f>
        <v/>
      </c>
      <c r="J22" t="str">
        <f t="shared" si="0"/>
        <v/>
      </c>
      <c r="K22" t="str">
        <f t="shared" si="1"/>
        <v/>
      </c>
      <c r="L22" t="str" cm="1">
        <f t="array" ref="L22">IFERROR(INDEX(バンド!$A$1:$J$17,MATCH($G22,バンド!$B$1:$B$17,0),COLUMN(バンド!C$1))&amp;"", "")</f>
        <v/>
      </c>
      <c r="M22" t="str" cm="1">
        <f t="array" ref="M22">IFERROR(INDEX(バンド!$A$1:$J$17,MATCH($G22,バンド!$B$1:$B$17,0),COLUMN(バンド!D$1))&amp;"", "")</f>
        <v/>
      </c>
      <c r="N22" t="str" cm="1">
        <f t="array" ref="N22">IFERROR(INDEX(バンド!$A$1:$J$17,MATCH($G22,バンド!$B$1:$B$17,0),COLUMN(バンド!E$1))&amp;"", "")</f>
        <v/>
      </c>
      <c r="O22" t="str" cm="1">
        <f t="array" ref="O22">IFERROR(INDEX(バンド!$A$1:$J$17,MATCH($G22,バンド!$B$1:$B$17,0),COLUMN(バンド!F$1))&amp;"", "")</f>
        <v/>
      </c>
      <c r="P22" t="str" cm="1">
        <f t="array" ref="P22">IFERROR(INDEX(バンド!$A$1:$J$17,MATCH($G22,バンド!$B$1:$B$17,0),COLUMN(バンド!G$1))&amp;"", "")</f>
        <v/>
      </c>
      <c r="Q22" t="str" cm="1">
        <f t="array" ref="Q22">IFERROR(INDEX(バンド!$A$1:$J$17,MATCH($G22,バンド!$B$1:$B$17,0),COLUMN(バンド!H$1))&amp;"", "")</f>
        <v/>
      </c>
      <c r="R22" t="str" cm="1">
        <f t="array" ref="R22">_xlfn.IFS($I22="a", 0, L22="", "", TRUE, COUNTIF($L20:$Q20, L22))</f>
        <v/>
      </c>
      <c r="S22" t="str" cm="1">
        <f t="array" ref="S22">_xlfn.IFS($I22="a", 0, M22="", "", TRUE, COUNTIF($L20:$Q20, M22))</f>
        <v/>
      </c>
      <c r="T22" t="str" cm="1">
        <f t="array" ref="T22">_xlfn.IFS($I22="a", 0, N22="", "", TRUE, COUNTIF($L20:$Q20, N22))</f>
        <v/>
      </c>
      <c r="U22" t="str" cm="1">
        <f t="array" ref="U22">_xlfn.IFS($I22="a", 0, O22="", "", TRUE, COUNTIF($L20:$Q20, O22))</f>
        <v/>
      </c>
      <c r="V22" t="str" cm="1">
        <f t="array" ref="V22">_xlfn.IFS($I22="a", 0, P22="", "", TRUE, COUNTIF($L20:$Q20, P22))</f>
        <v/>
      </c>
      <c r="W22" t="str" cm="1">
        <f t="array" ref="W22">_xlfn.IFS($I22="a", 0, Q22="", "", TRUE, COUNTIF($L20:$Q20, Q22))</f>
        <v/>
      </c>
      <c r="X22" t="str" cm="1">
        <f t="array" ref="X22">IFERROR(INDEX(バンド!$A$1:$S$17,MATCH(タイムテーブル!$G22,バンド!$B$1:$B$17,0),COLUMN(バンド!L$1))&amp;"", "")</f>
        <v/>
      </c>
      <c r="Y22" t="str" cm="1">
        <f t="array" ref="Y22">IFERROR(INDEX(バンド!$A$1:$S$17,MATCH(タイムテーブル!$G22,バンド!$B$1:$B$17,0),COLUMN(バンド!M$1))&amp;"", "")</f>
        <v/>
      </c>
      <c r="Z22" t="str" cm="1">
        <f t="array" ref="Z22">IFERROR(INDEX(バンド!$A$1:$S$17,MATCH(タイムテーブル!$G22,バンド!$B$1:$B$17,0),COLUMN(バンド!N$1))&amp;"", "")</f>
        <v/>
      </c>
      <c r="AA22" t="str" cm="1">
        <f t="array" ref="AA22">IFERROR(INDEX(バンド!$A$1:$S$17,MATCH(タイムテーブル!$G22,バンド!$B$1:$B$17,0),COLUMN(バンド!O$1))&amp;"", "")</f>
        <v/>
      </c>
      <c r="AB22" t="str" cm="1">
        <f t="array" ref="AB22">IFERROR(INDEX(バンド!$A$1:$S$17,MATCH(タイムテーブル!$G22,バンド!$B$1:$B$17,0),COLUMN(バンド!P$1))&amp;"", "")</f>
        <v/>
      </c>
      <c r="AC22" t="str" cm="1">
        <f t="array" ref="AC22">IFERROR(INDEX(バンド!$A$1:$S$17,MATCH(タイムテーブル!$G22,バンド!$B$1:$B$17,0),COLUMN(バンド!Q$1))&amp;"", "")</f>
        <v/>
      </c>
      <c r="AD22" t="str" cm="1">
        <f t="array" ref="AD22">IFERROR(INDEX(バンド!$A$1:$S$17,MATCH(タイムテーブル!$G22,バンド!$B$1:$B$17,0),COLUMN(バンド!R$1))&amp;"", "")</f>
        <v/>
      </c>
      <c r="AE22" t="str" cm="1">
        <f t="array" ref="AE22">IFERROR(INDEX(バンド!$A$1:$S$17,MATCH(タイムテーブル!$G22,バンド!$B$1:$B$17,0),COLUMN(バンド!S$1))&amp;"", "")</f>
        <v/>
      </c>
      <c r="AF22" t="str" cm="1">
        <f t="array" ref="AF22">_xlfn.IFS(X22&lt;&gt;"1", "", OR(AND(X$1&lt;$E22-$D22, $E22-$D22&lt;X$1+60), AND(X$1&lt;$E22, $E22&lt;X$1+60)), "×", TRUE, "")</f>
        <v/>
      </c>
      <c r="AG22" t="str" cm="1">
        <f t="array" ref="AG22">_xlfn.IFS(Y22&lt;&gt;"1", "", OR(AND(Y$1&lt;$E22-$D22, $E22-$D22&lt;Y$1+60), AND(Y$1&lt;$E22, $E22&lt;Y$1+60)), "×", TRUE, "")</f>
        <v/>
      </c>
      <c r="AH22" t="str" cm="1">
        <f t="array" ref="AH22">_xlfn.IFS(Z22&lt;&gt;"1", "", OR(AND(Z$1&lt;$E22-$D22, $E22-$D22&lt;Z$1+60), AND(Z$1&lt;$E22, $E22&lt;Z$1+60)), "×", TRUE, "")</f>
        <v/>
      </c>
      <c r="AI22" t="str" cm="1">
        <f t="array" ref="AI22">_xlfn.IFS(AA22&lt;&gt;"1", "", OR(AND(AA$1&lt;$E22-$D22, $E22-$D22&lt;AA$1+60), AND(AA$1&lt;$E22, $E22&lt;AA$1+60)), "×", TRUE, "")</f>
        <v/>
      </c>
      <c r="AJ22" t="str" cm="1">
        <f t="array" ref="AJ22">_xlfn.IFS(AB22&lt;&gt;"1", "", OR(AND(AB$1&lt;$E22-$D22, $E22-$D22&lt;AB$1+60), AND(AB$1&lt;$E22, $E22&lt;AB$1+60)), "×", TRUE, "")</f>
        <v/>
      </c>
      <c r="AK22" t="str" cm="1">
        <f t="array" ref="AK22">_xlfn.IFS(AC22&lt;&gt;"1", "", OR(AND(AC$1&lt;$E22-$D22, $E22-$D22&lt;AC$1+60), AND(AC$1&lt;$E22, $E22&lt;AC$1+60)), "×", TRUE, "")</f>
        <v/>
      </c>
      <c r="AL22" t="str" cm="1">
        <f t="array" ref="AL22">_xlfn.IFS(AD22&lt;&gt;"1", "", OR(AND(AD$1&lt;$E22-$D22, $E22-$D22&lt;AD$1+60), AND(AD$1&lt;$E22, $E22&lt;AD$1+60)), "×", TRUE, "")</f>
        <v/>
      </c>
      <c r="AM22" t="str" cm="1">
        <f t="array" ref="AM22">_xlfn.IFS(AE22&lt;&gt;"1", "", OR(AND(AE$1&lt;$E22-$D22, $E22-$D22&lt;AE$1+60), AND(AE$1&lt;$E22, $E22&lt;AE$1+60)), "×", TRUE, "")</f>
        <v/>
      </c>
    </row>
    <row r="23" spans="1:39">
      <c r="A23" s="5">
        <f t="shared" ref="A23:A40" si="7">C22</f>
        <v>0.54930555555555538</v>
      </c>
      <c r="B23" s="2" t="s">
        <v>33</v>
      </c>
      <c r="C23" s="6">
        <f t="shared" ref="C23:C40" si="8">A23+D23/24/60</f>
        <v>0.56111111111111089</v>
      </c>
      <c r="D23" s="7">
        <v>17</v>
      </c>
      <c r="E23">
        <f t="shared" si="4"/>
        <v>268</v>
      </c>
      <c r="F23">
        <v>9</v>
      </c>
      <c r="G23" t="s">
        <v>53</v>
      </c>
      <c r="H23">
        <f>IFERROR(INDEX(バンド!$A$1:$K$17,MATCH(タイムテーブル!$F23,バンド!$J$1:$J$17,0),11), "")</f>
        <v>0</v>
      </c>
      <c r="I23">
        <f>IFERROR(INDEX(バンド!$A$1:$K$17,MATCH(タイムテーブル!$F23,バンド!$J$1:$J$17,0),11), "")</f>
        <v>0</v>
      </c>
      <c r="J23">
        <f t="shared" si="0"/>
        <v>0</v>
      </c>
      <c r="K23">
        <f t="shared" si="1"/>
        <v>0</v>
      </c>
      <c r="L23" t="str" cm="1">
        <f t="array" ref="L23">IFERROR(INDEX(バンド!$A$1:$J$17,MATCH($G23,バンド!$B$1:$B$17,0),COLUMN(バンド!C$1))&amp;"", "")</f>
        <v>22くる</v>
      </c>
      <c r="M23" t="str" cm="1">
        <f t="array" ref="M23">IFERROR(INDEX(バンド!$A$1:$J$17,MATCH($G23,バンド!$B$1:$B$17,0),COLUMN(バンド!D$1))&amp;"", "")</f>
        <v>22はーちん</v>
      </c>
      <c r="N23" t="str" cm="1">
        <f t="array" ref="N23">IFERROR(INDEX(バンド!$A$1:$J$17,MATCH($G23,バンド!$B$1:$B$17,0),COLUMN(バンド!E$1))&amp;"", "")</f>
        <v>22いっせい</v>
      </c>
      <c r="O23" t="str" cm="1">
        <f t="array" ref="O23">IFERROR(INDEX(バンド!$A$1:$J$17,MATCH($G23,バンド!$B$1:$B$17,0),COLUMN(バンド!F$1))&amp;"", "")</f>
        <v>22なべ</v>
      </c>
      <c r="P23" t="str" cm="1">
        <f t="array" ref="P23">IFERROR(INDEX(バンド!$A$1:$J$17,MATCH($G23,バンド!$B$1:$B$17,0),COLUMN(バンド!G$1))&amp;"", "")</f>
        <v>23あすか</v>
      </c>
      <c r="Q23" t="str" cm="1">
        <f t="array" ref="Q23">IFERROR(INDEX(バンド!$A$1:$J$17,MATCH($G23,バンド!$B$1:$B$17,0),COLUMN(バンド!H$1))&amp;"", "")</f>
        <v>23イッキ</v>
      </c>
      <c r="R23" cm="1">
        <f t="array" ref="R23">_xlfn.IFS($I23="a", 0, L23="", "", TRUE, COUNTIF($L22:$Q22, L23))</f>
        <v>0</v>
      </c>
      <c r="S23" cm="1">
        <f t="array" ref="S23">_xlfn.IFS($I23="a", 0, M23="", "", TRUE, COUNTIF($L22:$Q22, M23))</f>
        <v>0</v>
      </c>
      <c r="T23" cm="1">
        <f t="array" ref="T23">_xlfn.IFS($I23="a", 0, N23="", "", TRUE, COUNTIF($L22:$Q22, N23))</f>
        <v>0</v>
      </c>
      <c r="U23" cm="1">
        <f t="array" ref="U23">_xlfn.IFS($I23="a", 0, O23="", "", TRUE, COUNTIF($L22:$Q22, O23))</f>
        <v>0</v>
      </c>
      <c r="V23" cm="1">
        <f t="array" ref="V23">_xlfn.IFS($I23="a", 0, P23="", "", TRUE, COUNTIF($L22:$Q22, P23))</f>
        <v>0</v>
      </c>
      <c r="W23" cm="1">
        <f t="array" ref="W23">_xlfn.IFS($I23="a", 0, Q23="", "", TRUE, COUNTIF($L22:$Q22, Q23))</f>
        <v>0</v>
      </c>
      <c r="X23" t="str" cm="1">
        <f t="array" ref="X23">IFERROR(INDEX(バンド!$A$1:$S$17,MATCH(タイムテーブル!$G23,バンド!$B$1:$B$17,0),COLUMN(バンド!L$1))&amp;"", "")</f>
        <v>1</v>
      </c>
      <c r="Y23" t="str" cm="1">
        <f t="array" ref="Y23">IFERROR(INDEX(バンド!$A$1:$S$17,MATCH(タイムテーブル!$G23,バンド!$B$1:$B$17,0),COLUMN(バンド!M$1))&amp;"", "")</f>
        <v>1</v>
      </c>
      <c r="Z23" t="str" cm="1">
        <f t="array" ref="Z23">IFERROR(INDEX(バンド!$A$1:$S$17,MATCH(タイムテーブル!$G23,バンド!$B$1:$B$17,0),COLUMN(バンド!N$1))&amp;"", "")</f>
        <v>1</v>
      </c>
      <c r="AA23" t="str" cm="1">
        <f t="array" ref="AA23">IFERROR(INDEX(バンド!$A$1:$S$17,MATCH(タイムテーブル!$G23,バンド!$B$1:$B$17,0),COLUMN(バンド!O$1))&amp;"", "")</f>
        <v>0</v>
      </c>
      <c r="AB23" t="str" cm="1">
        <f t="array" ref="AB23">IFERROR(INDEX(バンド!$A$1:$S$17,MATCH(タイムテーブル!$G23,バンド!$B$1:$B$17,0),COLUMN(バンド!P$1))&amp;"", "")</f>
        <v>0</v>
      </c>
      <c r="AC23" t="str" cm="1">
        <f t="array" ref="AC23">IFERROR(INDEX(バンド!$A$1:$S$17,MATCH(タイムテーブル!$G23,バンド!$B$1:$B$17,0),COLUMN(バンド!Q$1))&amp;"", "")</f>
        <v>0</v>
      </c>
      <c r="AD23" t="str" cm="1">
        <f t="array" ref="AD23">IFERROR(INDEX(バンド!$A$1:$S$17,MATCH(タイムテーブル!$G23,バンド!$B$1:$B$17,0),COLUMN(バンド!R$1))&amp;"", "")</f>
        <v>0</v>
      </c>
      <c r="AE23" t="str" cm="1">
        <f t="array" ref="AE23">IFERROR(INDEX(バンド!$A$1:$S$17,MATCH(タイムテーブル!$G23,バンド!$B$1:$B$17,0),COLUMN(バンド!S$1))&amp;"", "")</f>
        <v>0</v>
      </c>
      <c r="AF23" t="str" cm="1">
        <f t="array" ref="AF23">_xlfn.IFS(X23&lt;&gt;"1", "", OR(AND(X$1&lt;$E23-$D23, $E23-$D23&lt;X$1+60), AND(X$1&lt;$E23, $E23&lt;X$1+60)), "×", TRUE, "")</f>
        <v/>
      </c>
      <c r="AG23" t="str" cm="1">
        <f t="array" ref="AG23">_xlfn.IFS(Y23&lt;&gt;"1", "", OR(AND(Y$1&lt;$E23-$D23, $E23-$D23&lt;Y$1+60), AND(Y$1&lt;$E23, $E23&lt;Y$1+60)), "×", TRUE, "")</f>
        <v/>
      </c>
      <c r="AH23" t="str" cm="1">
        <f t="array" ref="AH23">_xlfn.IFS(Z23&lt;&gt;"1", "", OR(AND(Z$1&lt;$E23-$D23, $E23-$D23&lt;Z$1+60), AND(Z$1&lt;$E23, $E23&lt;Z$1+60)), "×", TRUE, "")</f>
        <v/>
      </c>
      <c r="AI23" t="str" cm="1">
        <f t="array" ref="AI23">_xlfn.IFS(AA23&lt;&gt;"1", "", OR(AND(AA$1&lt;$E23-$D23, $E23-$D23&lt;AA$1+60), AND(AA$1&lt;$E23, $E23&lt;AA$1+60)), "×", TRUE, "")</f>
        <v/>
      </c>
      <c r="AJ23" t="str" cm="1">
        <f t="array" ref="AJ23">_xlfn.IFS(AB23&lt;&gt;"1", "", OR(AND(AB$1&lt;$E23-$D23, $E23-$D23&lt;AB$1+60), AND(AB$1&lt;$E23, $E23&lt;AB$1+60)), "×", TRUE, "")</f>
        <v/>
      </c>
      <c r="AK23" t="str" cm="1">
        <f t="array" ref="AK23">_xlfn.IFS(AC23&lt;&gt;"1", "", OR(AND(AC$1&lt;$E23-$D23, $E23-$D23&lt;AC$1+60), AND(AC$1&lt;$E23, $E23&lt;AC$1+60)), "×", TRUE, "")</f>
        <v/>
      </c>
      <c r="AL23" t="str" cm="1">
        <f t="array" ref="AL23">_xlfn.IFS(AD23&lt;&gt;"1", "", OR(AND(AD$1&lt;$E23-$D23, $E23-$D23&lt;AD$1+60), AND(AD$1&lt;$E23, $E23&lt;AD$1+60)), "×", TRUE, "")</f>
        <v/>
      </c>
      <c r="AM23" t="str" cm="1">
        <f t="array" ref="AM23">_xlfn.IFS(AE23&lt;&gt;"1", "", OR(AND(AE$1&lt;$E23-$D23, $E23-$D23&lt;AE$1+60), AND(AE$1&lt;$E23, $E23&lt;AE$1+60)), "×", TRUE, "")</f>
        <v/>
      </c>
    </row>
    <row r="24" spans="1:39">
      <c r="A24" s="5">
        <f t="shared" si="7"/>
        <v>0.56111111111111089</v>
      </c>
      <c r="B24" s="2" t="s">
        <v>33</v>
      </c>
      <c r="C24" s="6">
        <f t="shared" si="8"/>
        <v>0.56249999999999978</v>
      </c>
      <c r="D24" s="7">
        <v>2</v>
      </c>
      <c r="E24">
        <f t="shared" si="4"/>
        <v>270</v>
      </c>
      <c r="F24" t="s">
        <v>90</v>
      </c>
      <c r="H24" t="str">
        <f>IFERROR(INDEX(バンド!$A$1:$K$17,MATCH(タイムテーブル!$F24,バンド!$J$1:$J$17,0),11), "")</f>
        <v/>
      </c>
      <c r="I24" t="str">
        <f>IFERROR(INDEX(バンド!$A$1:$K$17,MATCH(タイムテーブル!$F24,バンド!$J$1:$J$17,0),11), "")</f>
        <v/>
      </c>
      <c r="J24" t="str">
        <f t="shared" si="0"/>
        <v/>
      </c>
      <c r="K24" t="str">
        <f t="shared" si="1"/>
        <v/>
      </c>
      <c r="L24" t="str" cm="1">
        <f t="array" ref="L24">IFERROR(INDEX(バンド!$A$1:$J$17,MATCH($G24,バンド!$B$1:$B$17,0),COLUMN(バンド!C$1))&amp;"", "")</f>
        <v/>
      </c>
      <c r="M24" t="str" cm="1">
        <f t="array" ref="M24">IFERROR(INDEX(バンド!$A$1:$J$17,MATCH($G24,バンド!$B$1:$B$17,0),COLUMN(バンド!D$1))&amp;"", "")</f>
        <v/>
      </c>
      <c r="N24" t="str" cm="1">
        <f t="array" ref="N24">IFERROR(INDEX(バンド!$A$1:$J$17,MATCH($G24,バンド!$B$1:$B$17,0),COLUMN(バンド!E$1))&amp;"", "")</f>
        <v/>
      </c>
      <c r="O24" t="str" cm="1">
        <f t="array" ref="O24">IFERROR(INDEX(バンド!$A$1:$J$17,MATCH($G24,バンド!$B$1:$B$17,0),COLUMN(バンド!F$1))&amp;"", "")</f>
        <v/>
      </c>
      <c r="P24" t="str" cm="1">
        <f t="array" ref="P24">IFERROR(INDEX(バンド!$A$1:$J$17,MATCH($G24,バンド!$B$1:$B$17,0),COLUMN(バンド!G$1))&amp;"", "")</f>
        <v/>
      </c>
      <c r="Q24" t="str" cm="1">
        <f t="array" ref="Q24">IFERROR(INDEX(バンド!$A$1:$J$17,MATCH($G24,バンド!$B$1:$B$17,0),COLUMN(バンド!H$1))&amp;"", "")</f>
        <v/>
      </c>
      <c r="R24" t="str" cm="1">
        <f t="array" ref="R24">_xlfn.IFS($I24="a", 0, L24="", "", TRUE, COUNTIF(#REF!, L24))</f>
        <v/>
      </c>
      <c r="S24" t="str" cm="1">
        <f t="array" ref="S24">_xlfn.IFS($I24="a", 0, M24="", "", TRUE, COUNTIF(#REF!, M24))</f>
        <v/>
      </c>
      <c r="T24" t="str" cm="1">
        <f t="array" ref="T24">_xlfn.IFS($I24="a", 0, N24="", "", TRUE, COUNTIF(#REF!, N24))</f>
        <v/>
      </c>
      <c r="U24" t="str" cm="1">
        <f t="array" ref="U24">_xlfn.IFS($I24="a", 0, O24="", "", TRUE, COUNTIF(#REF!, O24))</f>
        <v/>
      </c>
      <c r="V24" t="str" cm="1">
        <f t="array" ref="V24">_xlfn.IFS($I24="a", 0, P24="", "", TRUE, COUNTIF(#REF!, P24))</f>
        <v/>
      </c>
      <c r="W24" t="str" cm="1">
        <f t="array" ref="W24">_xlfn.IFS($I24="a", 0, Q24="", "", TRUE, COUNTIF(#REF!, Q24))</f>
        <v/>
      </c>
      <c r="X24" t="str" cm="1">
        <f t="array" ref="X24">IFERROR(INDEX(バンド!$A$1:$S$17,MATCH(タイムテーブル!$G24,バンド!$B$1:$B$17,0),COLUMN(バンド!L$1))&amp;"", "")</f>
        <v/>
      </c>
      <c r="Y24" t="str" cm="1">
        <f t="array" ref="Y24">IFERROR(INDEX(バンド!$A$1:$S$17,MATCH(タイムテーブル!$G24,バンド!$B$1:$B$17,0),COLUMN(バンド!M$1))&amp;"", "")</f>
        <v/>
      </c>
      <c r="Z24" t="str" cm="1">
        <f t="array" ref="Z24">IFERROR(INDEX(バンド!$A$1:$S$17,MATCH(タイムテーブル!$G24,バンド!$B$1:$B$17,0),COLUMN(バンド!N$1))&amp;"", "")</f>
        <v/>
      </c>
      <c r="AA24" t="str" cm="1">
        <f t="array" ref="AA24">IFERROR(INDEX(バンド!$A$1:$S$17,MATCH(タイムテーブル!$G24,バンド!$B$1:$B$17,0),COLUMN(バンド!O$1))&amp;"", "")</f>
        <v/>
      </c>
      <c r="AB24" t="str" cm="1">
        <f t="array" ref="AB24">IFERROR(INDEX(バンド!$A$1:$S$17,MATCH(タイムテーブル!$G24,バンド!$B$1:$B$17,0),COLUMN(バンド!P$1))&amp;"", "")</f>
        <v/>
      </c>
      <c r="AC24" t="str" cm="1">
        <f t="array" ref="AC24">IFERROR(INDEX(バンド!$A$1:$S$17,MATCH(タイムテーブル!$G24,バンド!$B$1:$B$17,0),COLUMN(バンド!Q$1))&amp;"", "")</f>
        <v/>
      </c>
      <c r="AD24" t="str" cm="1">
        <f t="array" ref="AD24">IFERROR(INDEX(バンド!$A$1:$S$17,MATCH(タイムテーブル!$G24,バンド!$B$1:$B$17,0),COLUMN(バンド!R$1))&amp;"", "")</f>
        <v/>
      </c>
      <c r="AE24" t="str" cm="1">
        <f t="array" ref="AE24">IFERROR(INDEX(バンド!$A$1:$S$17,MATCH(タイムテーブル!$G24,バンド!$B$1:$B$17,0),COLUMN(バンド!S$1))&amp;"", "")</f>
        <v/>
      </c>
      <c r="AF24" t="str" cm="1">
        <f t="array" ref="AF24">_xlfn.IFS(X24&lt;&gt;"1", "", OR(AND(X$1&lt;$E24-$D24, $E24-$D24&lt;X$1+60), AND(X$1&lt;$E24, $E24&lt;X$1+60)), "×", TRUE, "")</f>
        <v/>
      </c>
      <c r="AG24" t="str" cm="1">
        <f t="array" ref="AG24">_xlfn.IFS(Y24&lt;&gt;"1", "", OR(AND(Y$1&lt;$E24-$D24, $E24-$D24&lt;Y$1+60), AND(Y$1&lt;$E24, $E24&lt;Y$1+60)), "×", TRUE, "")</f>
        <v/>
      </c>
      <c r="AH24" t="str" cm="1">
        <f t="array" ref="AH24">_xlfn.IFS(Z24&lt;&gt;"1", "", OR(AND(Z$1&lt;$E24-$D24, $E24-$D24&lt;Z$1+60), AND(Z$1&lt;$E24, $E24&lt;Z$1+60)), "×", TRUE, "")</f>
        <v/>
      </c>
      <c r="AI24" t="str" cm="1">
        <f t="array" ref="AI24">_xlfn.IFS(AA24&lt;&gt;"1", "", OR(AND(AA$1&lt;$E24-$D24, $E24-$D24&lt;AA$1+60), AND(AA$1&lt;$E24, $E24&lt;AA$1+60)), "×", TRUE, "")</f>
        <v/>
      </c>
      <c r="AJ24" t="str" cm="1">
        <f t="array" ref="AJ24">_xlfn.IFS(AB24&lt;&gt;"1", "", OR(AND(AB$1&lt;$E24-$D24, $E24-$D24&lt;AB$1+60), AND(AB$1&lt;$E24, $E24&lt;AB$1+60)), "×", TRUE, "")</f>
        <v/>
      </c>
      <c r="AK24" t="str" cm="1">
        <f t="array" ref="AK24">_xlfn.IFS(AC24&lt;&gt;"1", "", OR(AND(AC$1&lt;$E24-$D24, $E24-$D24&lt;AC$1+60), AND(AC$1&lt;$E24, $E24&lt;AC$1+60)), "×", TRUE, "")</f>
        <v/>
      </c>
      <c r="AL24" t="str" cm="1">
        <f t="array" ref="AL24">_xlfn.IFS(AD24&lt;&gt;"1", "", OR(AND(AD$1&lt;$E24-$D24, $E24-$D24&lt;AD$1+60), AND(AD$1&lt;$E24, $E24&lt;AD$1+60)), "×", TRUE, "")</f>
        <v/>
      </c>
      <c r="AM24" t="str" cm="1">
        <f t="array" ref="AM24">_xlfn.IFS(AE24&lt;&gt;"1", "", OR(AND(AE$1&lt;$E24-$D24, $E24-$D24&lt;AE$1+60), AND(AE$1&lt;$E24, $E24&lt;AE$1+60)), "×", TRUE, "")</f>
        <v/>
      </c>
    </row>
    <row r="25" spans="1:39">
      <c r="A25" s="5">
        <f t="shared" si="7"/>
        <v>0.56249999999999978</v>
      </c>
      <c r="B25" s="2" t="s">
        <v>33</v>
      </c>
      <c r="C25" s="6">
        <f t="shared" si="8"/>
        <v>0.57430555555555529</v>
      </c>
      <c r="D25" s="7">
        <v>17</v>
      </c>
      <c r="E25">
        <f t="shared" si="4"/>
        <v>287</v>
      </c>
      <c r="F25">
        <v>10</v>
      </c>
      <c r="G25" t="s">
        <v>42</v>
      </c>
      <c r="H25">
        <f>IFERROR(INDEX(バンド!$A$1:$K$17,MATCH(タイムテーブル!$F25,バンド!$J$1:$J$17,0),11), "")</f>
        <v>0</v>
      </c>
      <c r="I25">
        <f>IFERROR(INDEX(バンド!$A$1:$K$17,MATCH(タイムテーブル!$F25,バンド!$J$1:$J$17,0),11), "")</f>
        <v>0</v>
      </c>
      <c r="J25">
        <f t="shared" si="0"/>
        <v>0</v>
      </c>
      <c r="K25">
        <f t="shared" si="1"/>
        <v>0</v>
      </c>
      <c r="L25" t="str" cm="1">
        <f t="array" ref="L25">IFERROR(INDEX(バンド!$A$1:$J$17,MATCH($G25,バンド!$B$1:$B$17,0),COLUMN(バンド!C$1))&amp;"", "")</f>
        <v>21もろ</v>
      </c>
      <c r="M25" t="str" cm="1">
        <f t="array" ref="M25">IFERROR(INDEX(バンド!$A$1:$J$17,MATCH($G25,バンド!$B$1:$B$17,0),COLUMN(バンド!D$1))&amp;"", "")</f>
        <v>21けんたろう</v>
      </c>
      <c r="N25" t="str" cm="1">
        <f t="array" ref="N25">IFERROR(INDEX(バンド!$A$1:$J$17,MATCH($G25,バンド!$B$1:$B$17,0),COLUMN(バンド!E$1))&amp;"", "")</f>
        <v>21ハク</v>
      </c>
      <c r="O25" t="str" cm="1">
        <f t="array" ref="O25">IFERROR(INDEX(バンド!$A$1:$J$17,MATCH($G25,バンド!$B$1:$B$17,0),COLUMN(バンド!F$1))&amp;"", "")</f>
        <v>22hiroki</v>
      </c>
      <c r="P25" t="str" cm="1">
        <f t="array" ref="P25">IFERROR(INDEX(バンド!$A$1:$J$17,MATCH($G25,バンド!$B$1:$B$17,0),COLUMN(バンド!G$1))&amp;"", "")</f>
        <v>22あやき</v>
      </c>
      <c r="Q25" t="str" cm="1">
        <f t="array" ref="Q25">IFERROR(INDEX(バンド!$A$1:$J$17,MATCH($G25,バンド!$B$1:$B$17,0),COLUMN(バンド!H$1))&amp;"", "")</f>
        <v>22rion</v>
      </c>
      <c r="R25" cm="1">
        <f t="array" ref="R25">_xlfn.IFS($I25="a", 0, L25="", "", TRUE, COUNTIF($L23:$Q23, L25))</f>
        <v>0</v>
      </c>
      <c r="S25" cm="1">
        <f t="array" ref="S25">_xlfn.IFS($I25="a", 0, M25="", "", TRUE, COUNTIF($L23:$Q23, M25))</f>
        <v>0</v>
      </c>
      <c r="T25" cm="1">
        <f t="array" ref="T25">_xlfn.IFS($I25="a", 0, N25="", "", TRUE, COUNTIF($L23:$Q23, N25))</f>
        <v>0</v>
      </c>
      <c r="U25" cm="1">
        <f t="array" ref="U25">_xlfn.IFS($I25="a", 0, O25="", "", TRUE, COUNTIF($L23:$Q23, O25))</f>
        <v>0</v>
      </c>
      <c r="V25" cm="1">
        <f t="array" ref="V25">_xlfn.IFS($I25="a", 0, P25="", "", TRUE, COUNTIF($L23:$Q23, P25))</f>
        <v>0</v>
      </c>
      <c r="W25" cm="1">
        <f t="array" ref="W25">_xlfn.IFS($I25="a", 0, Q25="", "", TRUE, COUNTIF($L23:$Q23, Q25))</f>
        <v>0</v>
      </c>
      <c r="X25" t="str" cm="1">
        <f t="array" ref="X25">IFERROR(INDEX(バンド!$A$1:$S$17,MATCH(タイムテーブル!$G25,バンド!$B$1:$B$17,0),COLUMN(バンド!L$1))&amp;"", "")</f>
        <v>0</v>
      </c>
      <c r="Y25" t="str" cm="1">
        <f t="array" ref="Y25">IFERROR(INDEX(バンド!$A$1:$S$17,MATCH(タイムテーブル!$G25,バンド!$B$1:$B$17,0),COLUMN(バンド!M$1))&amp;"", "")</f>
        <v>0</v>
      </c>
      <c r="Z25" t="str" cm="1">
        <f t="array" ref="Z25">IFERROR(INDEX(バンド!$A$1:$S$17,MATCH(タイムテーブル!$G25,バンド!$B$1:$B$17,0),COLUMN(バンド!N$1))&amp;"", "")</f>
        <v>0</v>
      </c>
      <c r="AA25" t="str" cm="1">
        <f t="array" ref="AA25">IFERROR(INDEX(バンド!$A$1:$S$17,MATCH(タイムテーブル!$G25,バンド!$B$1:$B$17,0),COLUMN(バンド!O$1))&amp;"", "")</f>
        <v>0</v>
      </c>
      <c r="AB25" t="str" cm="1">
        <f t="array" ref="AB25">IFERROR(INDEX(バンド!$A$1:$S$17,MATCH(タイムテーブル!$G25,バンド!$B$1:$B$17,0),COLUMN(バンド!P$1))&amp;"", "")</f>
        <v>0</v>
      </c>
      <c r="AC25" t="str" cm="1">
        <f t="array" ref="AC25">IFERROR(INDEX(バンド!$A$1:$S$17,MATCH(タイムテーブル!$G25,バンド!$B$1:$B$17,0),COLUMN(バンド!Q$1))&amp;"", "")</f>
        <v>0</v>
      </c>
      <c r="AD25" t="str" cm="1">
        <f t="array" ref="AD25">IFERROR(INDEX(バンド!$A$1:$S$17,MATCH(タイムテーブル!$G25,バンド!$B$1:$B$17,0),COLUMN(バンド!R$1))&amp;"", "")</f>
        <v>0</v>
      </c>
      <c r="AE25" t="str" cm="1">
        <f t="array" ref="AE25">IFERROR(INDEX(バンド!$A$1:$S$17,MATCH(タイムテーブル!$G25,バンド!$B$1:$B$17,0),COLUMN(バンド!S$1))&amp;"", "")</f>
        <v>0</v>
      </c>
      <c r="AF25" t="str" cm="1">
        <f t="array" ref="AF25">_xlfn.IFS(X25&lt;&gt;"1", "", OR(AND(X$1&lt;$E25-$D25, $E25-$D25&lt;X$1+60), AND(X$1&lt;$E25, $E25&lt;X$1+60)), "×", TRUE, "")</f>
        <v/>
      </c>
      <c r="AG25" t="str" cm="1">
        <f t="array" ref="AG25">_xlfn.IFS(Y25&lt;&gt;"1", "", OR(AND(Y$1&lt;$E25-$D25, $E25-$D25&lt;Y$1+60), AND(Y$1&lt;$E25, $E25&lt;Y$1+60)), "×", TRUE, "")</f>
        <v/>
      </c>
      <c r="AH25" t="str" cm="1">
        <f t="array" ref="AH25">_xlfn.IFS(Z25&lt;&gt;"1", "", OR(AND(Z$1&lt;$E25-$D25, $E25-$D25&lt;Z$1+60), AND(Z$1&lt;$E25, $E25&lt;Z$1+60)), "×", TRUE, "")</f>
        <v/>
      </c>
      <c r="AI25" t="str" cm="1">
        <f t="array" ref="AI25">_xlfn.IFS(AA25&lt;&gt;"1", "", OR(AND(AA$1&lt;$E25-$D25, $E25-$D25&lt;AA$1+60), AND(AA$1&lt;$E25, $E25&lt;AA$1+60)), "×", TRUE, "")</f>
        <v/>
      </c>
      <c r="AJ25" t="str" cm="1">
        <f t="array" ref="AJ25">_xlfn.IFS(AB25&lt;&gt;"1", "", OR(AND(AB$1&lt;$E25-$D25, $E25-$D25&lt;AB$1+60), AND(AB$1&lt;$E25, $E25&lt;AB$1+60)), "×", TRUE, "")</f>
        <v/>
      </c>
      <c r="AK25" t="str" cm="1">
        <f t="array" ref="AK25">_xlfn.IFS(AC25&lt;&gt;"1", "", OR(AND(AC$1&lt;$E25-$D25, $E25-$D25&lt;AC$1+60), AND(AC$1&lt;$E25, $E25&lt;AC$1+60)), "×", TRUE, "")</f>
        <v/>
      </c>
      <c r="AL25" t="str" cm="1">
        <f t="array" ref="AL25">_xlfn.IFS(AD25&lt;&gt;"1", "", OR(AND(AD$1&lt;$E25-$D25, $E25-$D25&lt;AD$1+60), AND(AD$1&lt;$E25, $E25&lt;AD$1+60)), "×", TRUE, "")</f>
        <v/>
      </c>
      <c r="AM25" t="str" cm="1">
        <f t="array" ref="AM25">_xlfn.IFS(AE25&lt;&gt;"1", "", OR(AND(AE$1&lt;$E25-$D25, $E25-$D25&lt;AE$1+60), AND(AE$1&lt;$E25, $E25&lt;AE$1+60)), "×", TRUE, "")</f>
        <v/>
      </c>
    </row>
    <row r="26" spans="1:39">
      <c r="A26" s="5">
        <f t="shared" si="7"/>
        <v>0.57430555555555529</v>
      </c>
      <c r="B26" s="2" t="s">
        <v>33</v>
      </c>
      <c r="C26" s="6">
        <f t="shared" si="8"/>
        <v>0.57569444444444418</v>
      </c>
      <c r="D26" s="7">
        <v>2</v>
      </c>
      <c r="E26">
        <f t="shared" si="4"/>
        <v>289</v>
      </c>
      <c r="F26" t="s">
        <v>90</v>
      </c>
      <c r="H26" t="str">
        <f>IFERROR(INDEX(バンド!$A$1:$K$17,MATCH(タイムテーブル!$F26,バンド!$J$1:$J$17,0),11), "")</f>
        <v/>
      </c>
      <c r="I26" t="str">
        <f>IFERROR(INDEX(バンド!$A$1:$K$17,MATCH(タイムテーブル!$F26,バンド!$J$1:$J$17,0),11), "")</f>
        <v/>
      </c>
      <c r="J26" t="str">
        <f t="shared" si="0"/>
        <v/>
      </c>
      <c r="K26" t="str">
        <f t="shared" si="1"/>
        <v/>
      </c>
      <c r="L26" t="str" cm="1">
        <f t="array" ref="L26">IFERROR(INDEX(バンド!$A$1:$J$17,MATCH($G26,バンド!$B$1:$B$17,0),COLUMN(バンド!C$1))&amp;"", "")</f>
        <v/>
      </c>
      <c r="M26" t="str" cm="1">
        <f t="array" ref="M26">IFERROR(INDEX(バンド!$A$1:$J$17,MATCH($G26,バンド!$B$1:$B$17,0),COLUMN(バンド!D$1))&amp;"", "")</f>
        <v/>
      </c>
      <c r="N26" t="str" cm="1">
        <f t="array" ref="N26">IFERROR(INDEX(バンド!$A$1:$J$17,MATCH($G26,バンド!$B$1:$B$17,0),COLUMN(バンド!E$1))&amp;"", "")</f>
        <v/>
      </c>
      <c r="O26" t="str" cm="1">
        <f t="array" ref="O26">IFERROR(INDEX(バンド!$A$1:$J$17,MATCH($G26,バンド!$B$1:$B$17,0),COLUMN(バンド!F$1))&amp;"", "")</f>
        <v/>
      </c>
      <c r="P26" t="str" cm="1">
        <f t="array" ref="P26">IFERROR(INDEX(バンド!$A$1:$J$17,MATCH($G26,バンド!$B$1:$B$17,0),COLUMN(バンド!G$1))&amp;"", "")</f>
        <v/>
      </c>
      <c r="Q26" t="str" cm="1">
        <f t="array" ref="Q26">IFERROR(INDEX(バンド!$A$1:$J$17,MATCH($G26,バンド!$B$1:$B$17,0),COLUMN(バンド!H$1))&amp;"", "")</f>
        <v/>
      </c>
      <c r="R26" t="str" cm="1">
        <f t="array" ref="R26">_xlfn.IFS($I26="a", 0, L26="", "", TRUE, COUNTIF($L24:$Q24, L26))</f>
        <v/>
      </c>
      <c r="S26" t="str" cm="1">
        <f t="array" ref="S26">_xlfn.IFS($I26="a", 0, M26="", "", TRUE, COUNTIF($L24:$Q24, M26))</f>
        <v/>
      </c>
      <c r="T26" t="str" cm="1">
        <f t="array" ref="T26">_xlfn.IFS($I26="a", 0, N26="", "", TRUE, COUNTIF($L24:$Q24, N26))</f>
        <v/>
      </c>
      <c r="U26" t="str" cm="1">
        <f t="array" ref="U26">_xlfn.IFS($I26="a", 0, O26="", "", TRUE, COUNTIF($L24:$Q24, O26))</f>
        <v/>
      </c>
      <c r="V26" t="str" cm="1">
        <f t="array" ref="V26">_xlfn.IFS($I26="a", 0, P26="", "", TRUE, COUNTIF($L24:$Q24, P26))</f>
        <v/>
      </c>
      <c r="W26" t="str" cm="1">
        <f t="array" ref="W26">_xlfn.IFS($I26="a", 0, Q26="", "", TRUE, COUNTIF($L24:$Q24, Q26))</f>
        <v/>
      </c>
      <c r="X26" t="str" cm="1">
        <f t="array" ref="X26">IFERROR(INDEX(バンド!$A$1:$S$17,MATCH(タイムテーブル!$G26,バンド!$B$1:$B$17,0),COLUMN(バンド!L$1))&amp;"", "")</f>
        <v/>
      </c>
      <c r="Y26" t="str" cm="1">
        <f t="array" ref="Y26">IFERROR(INDEX(バンド!$A$1:$S$17,MATCH(タイムテーブル!$G26,バンド!$B$1:$B$17,0),COLUMN(バンド!M$1))&amp;"", "")</f>
        <v/>
      </c>
      <c r="Z26" t="str" cm="1">
        <f t="array" ref="Z26">IFERROR(INDEX(バンド!$A$1:$S$17,MATCH(タイムテーブル!$G26,バンド!$B$1:$B$17,0),COLUMN(バンド!N$1))&amp;"", "")</f>
        <v/>
      </c>
      <c r="AA26" t="str" cm="1">
        <f t="array" ref="AA26">IFERROR(INDEX(バンド!$A$1:$S$17,MATCH(タイムテーブル!$G26,バンド!$B$1:$B$17,0),COLUMN(バンド!O$1))&amp;"", "")</f>
        <v/>
      </c>
      <c r="AB26" t="str" cm="1">
        <f t="array" ref="AB26">IFERROR(INDEX(バンド!$A$1:$S$17,MATCH(タイムテーブル!$G26,バンド!$B$1:$B$17,0),COLUMN(バンド!P$1))&amp;"", "")</f>
        <v/>
      </c>
      <c r="AC26" t="str" cm="1">
        <f t="array" ref="AC26">IFERROR(INDEX(バンド!$A$1:$S$17,MATCH(タイムテーブル!$G26,バンド!$B$1:$B$17,0),COLUMN(バンド!Q$1))&amp;"", "")</f>
        <v/>
      </c>
      <c r="AD26" t="str" cm="1">
        <f t="array" ref="AD26">IFERROR(INDEX(バンド!$A$1:$S$17,MATCH(タイムテーブル!$G26,バンド!$B$1:$B$17,0),COLUMN(バンド!R$1))&amp;"", "")</f>
        <v/>
      </c>
      <c r="AE26" t="str" cm="1">
        <f t="array" ref="AE26">IFERROR(INDEX(バンド!$A$1:$S$17,MATCH(タイムテーブル!$G26,バンド!$B$1:$B$17,0),COLUMN(バンド!S$1))&amp;"", "")</f>
        <v/>
      </c>
      <c r="AF26" t="str" cm="1">
        <f t="array" ref="AF26">_xlfn.IFS(X26&lt;&gt;"1", "", OR(AND(X$1&lt;$E26-$D26, $E26-$D26&lt;X$1+60), AND(X$1&lt;$E26, $E26&lt;X$1+60)), "×", TRUE, "")</f>
        <v/>
      </c>
      <c r="AG26" t="str" cm="1">
        <f t="array" ref="AG26">_xlfn.IFS(Y26&lt;&gt;"1", "", OR(AND(Y$1&lt;$E26-$D26, $E26-$D26&lt;Y$1+60), AND(Y$1&lt;$E26, $E26&lt;Y$1+60)), "×", TRUE, "")</f>
        <v/>
      </c>
      <c r="AH26" t="str" cm="1">
        <f t="array" ref="AH26">_xlfn.IFS(Z26&lt;&gt;"1", "", OR(AND(Z$1&lt;$E26-$D26, $E26-$D26&lt;Z$1+60), AND(Z$1&lt;$E26, $E26&lt;Z$1+60)), "×", TRUE, "")</f>
        <v/>
      </c>
      <c r="AI26" t="str" cm="1">
        <f t="array" ref="AI26">_xlfn.IFS(AA26&lt;&gt;"1", "", OR(AND(AA$1&lt;$E26-$D26, $E26-$D26&lt;AA$1+60), AND(AA$1&lt;$E26, $E26&lt;AA$1+60)), "×", TRUE, "")</f>
        <v/>
      </c>
      <c r="AJ26" t="str" cm="1">
        <f t="array" ref="AJ26">_xlfn.IFS(AB26&lt;&gt;"1", "", OR(AND(AB$1&lt;$E26-$D26, $E26-$D26&lt;AB$1+60), AND(AB$1&lt;$E26, $E26&lt;AB$1+60)), "×", TRUE, "")</f>
        <v/>
      </c>
      <c r="AK26" t="str" cm="1">
        <f t="array" ref="AK26">_xlfn.IFS(AC26&lt;&gt;"1", "", OR(AND(AC$1&lt;$E26-$D26, $E26-$D26&lt;AC$1+60), AND(AC$1&lt;$E26, $E26&lt;AC$1+60)), "×", TRUE, "")</f>
        <v/>
      </c>
      <c r="AL26" t="str" cm="1">
        <f t="array" ref="AL26">_xlfn.IFS(AD26&lt;&gt;"1", "", OR(AND(AD$1&lt;$E26-$D26, $E26-$D26&lt;AD$1+60), AND(AD$1&lt;$E26, $E26&lt;AD$1+60)), "×", TRUE, "")</f>
        <v/>
      </c>
      <c r="AM26" t="str" cm="1">
        <f t="array" ref="AM26">_xlfn.IFS(AE26&lt;&gt;"1", "", OR(AND(AE$1&lt;$E26-$D26, $E26-$D26&lt;AE$1+60), AND(AE$1&lt;$E26, $E26&lt;AE$1+60)), "×", TRUE, "")</f>
        <v/>
      </c>
    </row>
    <row r="27" spans="1:39">
      <c r="A27" s="5">
        <f t="shared" si="7"/>
        <v>0.57569444444444418</v>
      </c>
      <c r="B27" s="2" t="s">
        <v>33</v>
      </c>
      <c r="C27" s="6">
        <f t="shared" si="8"/>
        <v>0.58749999999999969</v>
      </c>
      <c r="D27" s="7">
        <v>17</v>
      </c>
      <c r="E27">
        <f t="shared" si="4"/>
        <v>306</v>
      </c>
      <c r="F27">
        <v>11</v>
      </c>
      <c r="G27" t="s">
        <v>57</v>
      </c>
      <c r="H27">
        <f>IFERROR(INDEX(バンド!$A$1:$K$17,MATCH(タイムテーブル!$F27,バンド!$J$1:$J$17,0),11), "")</f>
        <v>0</v>
      </c>
      <c r="I27">
        <f>IFERROR(INDEX(バンド!$A$1:$K$17,MATCH(タイムテーブル!$F27,バンド!$J$1:$J$17,0),11), "")</f>
        <v>0</v>
      </c>
      <c r="J27">
        <f t="shared" si="0"/>
        <v>0</v>
      </c>
      <c r="K27">
        <f t="shared" si="1"/>
        <v>0</v>
      </c>
      <c r="L27" t="str" cm="1">
        <f t="array" ref="L27">IFERROR(INDEX(バンド!$A$1:$J$17,MATCH($G27,バンド!$B$1:$B$17,0),COLUMN(バンド!C$1))&amp;"", "")</f>
        <v>23しゅんや</v>
      </c>
      <c r="M27" t="str" cm="1">
        <f t="array" ref="M27">IFERROR(INDEX(バンド!$A$1:$J$17,MATCH($G27,バンド!$B$1:$B$17,0),COLUMN(バンド!D$1))&amp;"", "")</f>
        <v>23ひなの</v>
      </c>
      <c r="N27" t="str" cm="1">
        <f t="array" ref="N27">IFERROR(INDEX(バンド!$A$1:$J$17,MATCH($G27,バンド!$B$1:$B$17,0),COLUMN(バンド!E$1))&amp;"", "")</f>
        <v>23いろは</v>
      </c>
      <c r="O27" t="str" cm="1">
        <f t="array" ref="O27">IFERROR(INDEX(バンド!$A$1:$J$17,MATCH($G27,バンド!$B$1:$B$17,0),COLUMN(バンド!F$1))&amp;"", "")</f>
        <v>23馬</v>
      </c>
      <c r="P27" t="str" cm="1">
        <f t="array" ref="P27">IFERROR(INDEX(バンド!$A$1:$J$17,MATCH($G27,バンド!$B$1:$B$17,0),COLUMN(バンド!G$1))&amp;"", "")</f>
        <v>23つかでぃー</v>
      </c>
      <c r="Q27" t="str" cm="1">
        <f t="array" ref="Q27">IFERROR(INDEX(バンド!$A$1:$J$17,MATCH($G27,バンド!$B$1:$B$17,0),COLUMN(バンド!H$1))&amp;"", "")</f>
        <v>23ひめか</v>
      </c>
      <c r="R27" cm="1">
        <f t="array" ref="R27">_xlfn.IFS($I27="a", 0, L27="", "", TRUE, COUNTIF($L25:$Q25, L27))</f>
        <v>0</v>
      </c>
      <c r="S27" cm="1">
        <f t="array" ref="S27">_xlfn.IFS($I27="a", 0, M27="", "", TRUE, COUNTIF($L25:$Q25, M27))</f>
        <v>0</v>
      </c>
      <c r="T27" cm="1">
        <f t="array" ref="T27">_xlfn.IFS($I27="a", 0, N27="", "", TRUE, COUNTIF($L25:$Q25, N27))</f>
        <v>0</v>
      </c>
      <c r="U27" cm="1">
        <f t="array" ref="U27">_xlfn.IFS($I27="a", 0, O27="", "", TRUE, COUNTIF($L25:$Q25, O27))</f>
        <v>0</v>
      </c>
      <c r="V27" cm="1">
        <f t="array" ref="V27">_xlfn.IFS($I27="a", 0, P27="", "", TRUE, COUNTIF($L25:$Q25, P27))</f>
        <v>0</v>
      </c>
      <c r="W27" cm="1">
        <f t="array" ref="W27">_xlfn.IFS($I27="a", 0, Q27="", "", TRUE, COUNTIF($L25:$Q25, Q27))</f>
        <v>0</v>
      </c>
      <c r="X27" t="str" cm="1">
        <f t="array" ref="X27">IFERROR(INDEX(バンド!$A$1:$S$17,MATCH(タイムテーブル!$G27,バンド!$B$1:$B$17,0),COLUMN(バンド!L$1))&amp;"", "")</f>
        <v>0</v>
      </c>
      <c r="Y27" t="str" cm="1">
        <f t="array" ref="Y27">IFERROR(INDEX(バンド!$A$1:$S$17,MATCH(タイムテーブル!$G27,バンド!$B$1:$B$17,0),COLUMN(バンド!M$1))&amp;"", "")</f>
        <v>0</v>
      </c>
      <c r="Z27" t="str" cm="1">
        <f t="array" ref="Z27">IFERROR(INDEX(バンド!$A$1:$S$17,MATCH(タイムテーブル!$G27,バンド!$B$1:$B$17,0),COLUMN(バンド!N$1))&amp;"", "")</f>
        <v>0</v>
      </c>
      <c r="AA27" t="str" cm="1">
        <f t="array" ref="AA27">IFERROR(INDEX(バンド!$A$1:$S$17,MATCH(タイムテーブル!$G27,バンド!$B$1:$B$17,0),COLUMN(バンド!O$1))&amp;"", "")</f>
        <v>0</v>
      </c>
      <c r="AB27" t="str" cm="1">
        <f t="array" ref="AB27">IFERROR(INDEX(バンド!$A$1:$S$17,MATCH(タイムテーブル!$G27,バンド!$B$1:$B$17,0),COLUMN(バンド!P$1))&amp;"", "")</f>
        <v>0</v>
      </c>
      <c r="AC27" t="str" cm="1">
        <f t="array" ref="AC27">IFERROR(INDEX(バンド!$A$1:$S$17,MATCH(タイムテーブル!$G27,バンド!$B$1:$B$17,0),COLUMN(バンド!Q$1))&amp;"", "")</f>
        <v>0</v>
      </c>
      <c r="AD27" t="str" cm="1">
        <f t="array" ref="AD27">IFERROR(INDEX(バンド!$A$1:$S$17,MATCH(タイムテーブル!$G27,バンド!$B$1:$B$17,0),COLUMN(バンド!R$1))&amp;"", "")</f>
        <v>0</v>
      </c>
      <c r="AE27" t="str" cm="1">
        <f t="array" ref="AE27">IFERROR(INDEX(バンド!$A$1:$S$17,MATCH(タイムテーブル!$G27,バンド!$B$1:$B$17,0),COLUMN(バンド!S$1))&amp;"", "")</f>
        <v>0</v>
      </c>
      <c r="AF27" t="str" cm="1">
        <f t="array" ref="AF27">_xlfn.IFS(X27&lt;&gt;"1", "", OR(AND(X$1&lt;$E27-$D27, $E27-$D27&lt;X$1+60), AND(X$1&lt;$E27, $E27&lt;X$1+60)), "×", TRUE, "")</f>
        <v/>
      </c>
      <c r="AG27" t="str" cm="1">
        <f t="array" ref="AG27">_xlfn.IFS(Y27&lt;&gt;"1", "", OR(AND(Y$1&lt;$E27-$D27, $E27-$D27&lt;Y$1+60), AND(Y$1&lt;$E27, $E27&lt;Y$1+60)), "×", TRUE, "")</f>
        <v/>
      </c>
      <c r="AH27" t="str" cm="1">
        <f t="array" ref="AH27">_xlfn.IFS(Z27&lt;&gt;"1", "", OR(AND(Z$1&lt;$E27-$D27, $E27-$D27&lt;Z$1+60), AND(Z$1&lt;$E27, $E27&lt;Z$1+60)), "×", TRUE, "")</f>
        <v/>
      </c>
      <c r="AI27" t="str" cm="1">
        <f t="array" ref="AI27">_xlfn.IFS(AA27&lt;&gt;"1", "", OR(AND(AA$1&lt;$E27-$D27, $E27-$D27&lt;AA$1+60), AND(AA$1&lt;$E27, $E27&lt;AA$1+60)), "×", TRUE, "")</f>
        <v/>
      </c>
      <c r="AJ27" t="str" cm="1">
        <f t="array" ref="AJ27">_xlfn.IFS(AB27&lt;&gt;"1", "", OR(AND(AB$1&lt;$E27-$D27, $E27-$D27&lt;AB$1+60), AND(AB$1&lt;$E27, $E27&lt;AB$1+60)), "×", TRUE, "")</f>
        <v/>
      </c>
      <c r="AK27" t="str" cm="1">
        <f t="array" ref="AK27">_xlfn.IFS(AC27&lt;&gt;"1", "", OR(AND(AC$1&lt;$E27-$D27, $E27-$D27&lt;AC$1+60), AND(AC$1&lt;$E27, $E27&lt;AC$1+60)), "×", TRUE, "")</f>
        <v/>
      </c>
      <c r="AL27" t="str" cm="1">
        <f t="array" ref="AL27">_xlfn.IFS(AD27&lt;&gt;"1", "", OR(AND(AD$1&lt;$E27-$D27, $E27-$D27&lt;AD$1+60), AND(AD$1&lt;$E27, $E27&lt;AD$1+60)), "×", TRUE, "")</f>
        <v/>
      </c>
      <c r="AM27" t="str" cm="1">
        <f t="array" ref="AM27">_xlfn.IFS(AE27&lt;&gt;"1", "", OR(AND(AE$1&lt;$E27-$D27, $E27-$D27&lt;AE$1+60), AND(AE$1&lt;$E27, $E27&lt;AE$1+60)), "×", TRUE, "")</f>
        <v/>
      </c>
    </row>
    <row r="28" spans="1:39">
      <c r="A28" s="5">
        <f t="shared" si="7"/>
        <v>0.58749999999999969</v>
      </c>
      <c r="B28" s="2" t="s">
        <v>33</v>
      </c>
      <c r="C28" s="6">
        <f t="shared" si="8"/>
        <v>0.58888888888888857</v>
      </c>
      <c r="D28" s="7">
        <v>2</v>
      </c>
      <c r="E28">
        <f t="shared" si="4"/>
        <v>308</v>
      </c>
      <c r="F28" t="s">
        <v>90</v>
      </c>
      <c r="H28" t="str">
        <f>IFERROR(INDEX(バンド!$A$1:$K$17,MATCH(タイムテーブル!$F28,バンド!$J$1:$J$17,0),11), "")</f>
        <v/>
      </c>
      <c r="I28" t="str">
        <f>IFERROR(INDEX(バンド!$A$1:$K$17,MATCH(タイムテーブル!$F28,バンド!$J$1:$J$17,0),11), "")</f>
        <v/>
      </c>
      <c r="J28" t="str">
        <f t="shared" si="0"/>
        <v/>
      </c>
      <c r="K28" t="str">
        <f t="shared" si="1"/>
        <v/>
      </c>
      <c r="L28" t="str" cm="1">
        <f t="array" ref="L28">IFERROR(INDEX(バンド!$A$1:$J$17,MATCH($G28,バンド!$B$1:$B$17,0),COLUMN(バンド!C$1))&amp;"", "")</f>
        <v/>
      </c>
      <c r="M28" t="str" cm="1">
        <f t="array" ref="M28">IFERROR(INDEX(バンド!$A$1:$J$17,MATCH($G28,バンド!$B$1:$B$17,0),COLUMN(バンド!D$1))&amp;"", "")</f>
        <v/>
      </c>
      <c r="N28" t="str" cm="1">
        <f t="array" ref="N28">IFERROR(INDEX(バンド!$A$1:$J$17,MATCH($G28,バンド!$B$1:$B$17,0),COLUMN(バンド!E$1))&amp;"", "")</f>
        <v/>
      </c>
      <c r="O28" t="str" cm="1">
        <f t="array" ref="O28">IFERROR(INDEX(バンド!$A$1:$J$17,MATCH($G28,バンド!$B$1:$B$17,0),COLUMN(バンド!F$1))&amp;"", "")</f>
        <v/>
      </c>
      <c r="P28" t="str" cm="1">
        <f t="array" ref="P28">IFERROR(INDEX(バンド!$A$1:$J$17,MATCH($G28,バンド!$B$1:$B$17,0),COLUMN(バンド!G$1))&amp;"", "")</f>
        <v/>
      </c>
      <c r="Q28" t="str" cm="1">
        <f t="array" ref="Q28">IFERROR(INDEX(バンド!$A$1:$J$17,MATCH($G28,バンド!$B$1:$B$17,0),COLUMN(バンド!H$1))&amp;"", "")</f>
        <v/>
      </c>
      <c r="R28" t="str" cm="1">
        <f t="array" ref="R28">_xlfn.IFS($I28="a", 0, L28="", "", TRUE, COUNTIF($L26:$Q26, L28))</f>
        <v/>
      </c>
      <c r="S28" t="str" cm="1">
        <f t="array" ref="S28">_xlfn.IFS($I28="a", 0, M28="", "", TRUE, COUNTIF($L26:$Q26, M28))</f>
        <v/>
      </c>
      <c r="T28" t="str" cm="1">
        <f t="array" ref="T28">_xlfn.IFS($I28="a", 0, N28="", "", TRUE, COUNTIF($L26:$Q26, N28))</f>
        <v/>
      </c>
      <c r="U28" t="str" cm="1">
        <f t="array" ref="U28">_xlfn.IFS($I28="a", 0, O28="", "", TRUE, COUNTIF($L26:$Q26, O28))</f>
        <v/>
      </c>
      <c r="V28" t="str" cm="1">
        <f t="array" ref="V28">_xlfn.IFS($I28="a", 0, P28="", "", TRUE, COUNTIF($L26:$Q26, P28))</f>
        <v/>
      </c>
      <c r="W28" t="str" cm="1">
        <f t="array" ref="W28">_xlfn.IFS($I28="a", 0, Q28="", "", TRUE, COUNTIF($L26:$Q26, Q28))</f>
        <v/>
      </c>
      <c r="X28" t="str" cm="1">
        <f t="array" ref="X28">IFERROR(INDEX(バンド!$A$1:$S$17,MATCH(タイムテーブル!$G28,バンド!$B$1:$B$17,0),COLUMN(バンド!L$1))&amp;"", "")</f>
        <v/>
      </c>
      <c r="Y28" t="str" cm="1">
        <f t="array" ref="Y28">IFERROR(INDEX(バンド!$A$1:$S$17,MATCH(タイムテーブル!$G28,バンド!$B$1:$B$17,0),COLUMN(バンド!M$1))&amp;"", "")</f>
        <v/>
      </c>
      <c r="Z28" t="str" cm="1">
        <f t="array" ref="Z28">IFERROR(INDEX(バンド!$A$1:$S$17,MATCH(タイムテーブル!$G28,バンド!$B$1:$B$17,0),COLUMN(バンド!N$1))&amp;"", "")</f>
        <v/>
      </c>
      <c r="AA28" t="str" cm="1">
        <f t="array" ref="AA28">IFERROR(INDEX(バンド!$A$1:$S$17,MATCH(タイムテーブル!$G28,バンド!$B$1:$B$17,0),COLUMN(バンド!O$1))&amp;"", "")</f>
        <v/>
      </c>
      <c r="AB28" t="str" cm="1">
        <f t="array" ref="AB28">IFERROR(INDEX(バンド!$A$1:$S$17,MATCH(タイムテーブル!$G28,バンド!$B$1:$B$17,0),COLUMN(バンド!P$1))&amp;"", "")</f>
        <v/>
      </c>
      <c r="AC28" t="str" cm="1">
        <f t="array" ref="AC28">IFERROR(INDEX(バンド!$A$1:$S$17,MATCH(タイムテーブル!$G28,バンド!$B$1:$B$17,0),COLUMN(バンド!Q$1))&amp;"", "")</f>
        <v/>
      </c>
      <c r="AD28" t="str" cm="1">
        <f t="array" ref="AD28">IFERROR(INDEX(バンド!$A$1:$S$17,MATCH(タイムテーブル!$G28,バンド!$B$1:$B$17,0),COLUMN(バンド!R$1))&amp;"", "")</f>
        <v/>
      </c>
      <c r="AE28" t="str" cm="1">
        <f t="array" ref="AE28">IFERROR(INDEX(バンド!$A$1:$S$17,MATCH(タイムテーブル!$G28,バンド!$B$1:$B$17,0),COLUMN(バンド!S$1))&amp;"", "")</f>
        <v/>
      </c>
      <c r="AF28" t="str" cm="1">
        <f t="array" ref="AF28">_xlfn.IFS(X28&lt;&gt;"1", "", OR(AND(X$1&lt;$E28-$D28, $E28-$D28&lt;X$1+60), AND(X$1&lt;$E28, $E28&lt;X$1+60)), "×", TRUE, "")</f>
        <v/>
      </c>
      <c r="AG28" t="str" cm="1">
        <f t="array" ref="AG28">_xlfn.IFS(Y28&lt;&gt;"1", "", OR(AND(Y$1&lt;$E28-$D28, $E28-$D28&lt;Y$1+60), AND(Y$1&lt;$E28, $E28&lt;Y$1+60)), "×", TRUE, "")</f>
        <v/>
      </c>
      <c r="AH28" t="str" cm="1">
        <f t="array" ref="AH28">_xlfn.IFS(Z28&lt;&gt;"1", "", OR(AND(Z$1&lt;$E28-$D28, $E28-$D28&lt;Z$1+60), AND(Z$1&lt;$E28, $E28&lt;Z$1+60)), "×", TRUE, "")</f>
        <v/>
      </c>
      <c r="AI28" t="str" cm="1">
        <f t="array" ref="AI28">_xlfn.IFS(AA28&lt;&gt;"1", "", OR(AND(AA$1&lt;$E28-$D28, $E28-$D28&lt;AA$1+60), AND(AA$1&lt;$E28, $E28&lt;AA$1+60)), "×", TRUE, "")</f>
        <v/>
      </c>
      <c r="AJ28" t="str" cm="1">
        <f t="array" ref="AJ28">_xlfn.IFS(AB28&lt;&gt;"1", "", OR(AND(AB$1&lt;$E28-$D28, $E28-$D28&lt;AB$1+60), AND(AB$1&lt;$E28, $E28&lt;AB$1+60)), "×", TRUE, "")</f>
        <v/>
      </c>
      <c r="AK28" t="str" cm="1">
        <f t="array" ref="AK28">_xlfn.IFS(AC28&lt;&gt;"1", "", OR(AND(AC$1&lt;$E28-$D28, $E28-$D28&lt;AC$1+60), AND(AC$1&lt;$E28, $E28&lt;AC$1+60)), "×", TRUE, "")</f>
        <v/>
      </c>
      <c r="AL28" t="str" cm="1">
        <f t="array" ref="AL28">_xlfn.IFS(AD28&lt;&gt;"1", "", OR(AND(AD$1&lt;$E28-$D28, $E28-$D28&lt;AD$1+60), AND(AD$1&lt;$E28, $E28&lt;AD$1+60)), "×", TRUE, "")</f>
        <v/>
      </c>
      <c r="AM28" t="str" cm="1">
        <f t="array" ref="AM28">_xlfn.IFS(AE28&lt;&gt;"1", "", OR(AND(AE$1&lt;$E28-$D28, $E28-$D28&lt;AE$1+60), AND(AE$1&lt;$E28, $E28&lt;AE$1+60)), "×", TRUE, "")</f>
        <v/>
      </c>
    </row>
    <row r="29" spans="1:39">
      <c r="A29" s="5">
        <f t="shared" si="7"/>
        <v>0.58888888888888857</v>
      </c>
      <c r="B29" s="2" t="s">
        <v>33</v>
      </c>
      <c r="C29" s="6">
        <f t="shared" si="8"/>
        <v>0.60069444444444409</v>
      </c>
      <c r="D29" s="7">
        <v>17</v>
      </c>
      <c r="E29">
        <f t="shared" si="4"/>
        <v>325</v>
      </c>
      <c r="F29">
        <v>12</v>
      </c>
      <c r="G29" t="s">
        <v>2</v>
      </c>
      <c r="H29">
        <f>IFERROR(INDEX(バンド!$A$1:$K$17,MATCH(タイムテーブル!$F29,バンド!$J$1:$J$17,0),11), "")</f>
        <v>0</v>
      </c>
      <c r="I29">
        <f>IFERROR(INDEX(バンド!$A$1:$K$17,MATCH(タイムテーブル!$F29,バンド!$J$1:$J$17,0),11), "")</f>
        <v>0</v>
      </c>
      <c r="J29">
        <f t="shared" si="0"/>
        <v>0</v>
      </c>
      <c r="K29">
        <f t="shared" si="1"/>
        <v>0</v>
      </c>
      <c r="L29" t="str" cm="1">
        <f t="array" ref="L29">IFERROR(INDEX(バンド!$A$1:$J$17,MATCH($G29,バンド!$B$1:$B$17,0),COLUMN(バンド!C$1))&amp;"", "")</f>
        <v>21かこ</v>
      </c>
      <c r="M29" t="str" cm="1">
        <f t="array" ref="M29">IFERROR(INDEX(バンド!$A$1:$J$17,MATCH($G29,バンド!$B$1:$B$17,0),COLUMN(バンド!D$1))&amp;"", "")</f>
        <v>21まお</v>
      </c>
      <c r="N29" t="str" cm="1">
        <f t="array" ref="N29">IFERROR(INDEX(バンド!$A$1:$J$17,MATCH($G29,バンド!$B$1:$B$17,0),COLUMN(バンド!E$1))&amp;"", "")</f>
        <v>21もち</v>
      </c>
      <c r="O29" t="str" cm="1">
        <f t="array" ref="O29">IFERROR(INDEX(バンド!$A$1:$J$17,MATCH($G29,バンド!$B$1:$B$17,0),COLUMN(バンド!F$1))&amp;"", "")</f>
        <v>21けんたろう</v>
      </c>
      <c r="P29" t="str" cm="1">
        <f t="array" ref="P29">IFERROR(INDEX(バンド!$A$1:$J$17,MATCH($G29,バンド!$B$1:$B$17,0),COLUMN(バンド!G$1))&amp;"", "")</f>
        <v>21あだ</v>
      </c>
      <c r="Q29" t="str" cm="1">
        <f t="array" ref="Q29">IFERROR(INDEX(バンド!$A$1:$J$17,MATCH($G29,バンド!$B$1:$B$17,0),COLUMN(バンド!H$1))&amp;"", "")</f>
        <v>22hiroki</v>
      </c>
      <c r="R29" cm="1">
        <f t="array" ref="R29">_xlfn.IFS($I29="a", 0, L29="", "", TRUE, COUNTIF($L27:$Q27, L29))</f>
        <v>0</v>
      </c>
      <c r="S29" cm="1">
        <f t="array" ref="S29">_xlfn.IFS($I29="a", 0, M29="", "", TRUE, COUNTIF($L27:$Q27, M29))</f>
        <v>0</v>
      </c>
      <c r="T29" cm="1">
        <f t="array" ref="T29">_xlfn.IFS($I29="a", 0, N29="", "", TRUE, COUNTIF($L27:$Q27, N29))</f>
        <v>0</v>
      </c>
      <c r="U29" cm="1">
        <f t="array" ref="U29">_xlfn.IFS($I29="a", 0, O29="", "", TRUE, COUNTIF($L27:$Q27, O29))</f>
        <v>0</v>
      </c>
      <c r="V29" cm="1">
        <f t="array" ref="V29">_xlfn.IFS($I29="a", 0, P29="", "", TRUE, COUNTIF($L27:$Q27, P29))</f>
        <v>0</v>
      </c>
      <c r="W29" cm="1">
        <f t="array" ref="W29">_xlfn.IFS($I29="a", 0, Q29="", "", TRUE, COUNTIF($L27:$Q27, Q29))</f>
        <v>0</v>
      </c>
      <c r="X29" t="str" cm="1">
        <f t="array" ref="X29">IFERROR(INDEX(バンド!$A$1:$S$17,MATCH(タイムテーブル!$G29,バンド!$B$1:$B$17,0),COLUMN(バンド!L$1))&amp;"", "")</f>
        <v>0</v>
      </c>
      <c r="Y29" t="str" cm="1">
        <f t="array" ref="Y29">IFERROR(INDEX(バンド!$A$1:$S$17,MATCH(タイムテーブル!$G29,バンド!$B$1:$B$17,0),COLUMN(バンド!M$1))&amp;"", "")</f>
        <v>0</v>
      </c>
      <c r="Z29" t="str" cm="1">
        <f t="array" ref="Z29">IFERROR(INDEX(バンド!$A$1:$S$17,MATCH(タイムテーブル!$G29,バンド!$B$1:$B$17,0),COLUMN(バンド!N$1))&amp;"", "")</f>
        <v>0</v>
      </c>
      <c r="AA29" t="str" cm="1">
        <f t="array" ref="AA29">IFERROR(INDEX(バンド!$A$1:$S$17,MATCH(タイムテーブル!$G29,バンド!$B$1:$B$17,0),COLUMN(バンド!O$1))&amp;"", "")</f>
        <v>0</v>
      </c>
      <c r="AB29" t="str" cm="1">
        <f t="array" ref="AB29">IFERROR(INDEX(バンド!$A$1:$S$17,MATCH(タイムテーブル!$G29,バンド!$B$1:$B$17,0),COLUMN(バンド!P$1))&amp;"", "")</f>
        <v>0</v>
      </c>
      <c r="AC29" t="str" cm="1">
        <f t="array" ref="AC29">IFERROR(INDEX(バンド!$A$1:$S$17,MATCH(タイムテーブル!$G29,バンド!$B$1:$B$17,0),COLUMN(バンド!Q$1))&amp;"", "")</f>
        <v>0</v>
      </c>
      <c r="AD29" t="str" cm="1">
        <f t="array" ref="AD29">IFERROR(INDEX(バンド!$A$1:$S$17,MATCH(タイムテーブル!$G29,バンド!$B$1:$B$17,0),COLUMN(バンド!R$1))&amp;"", "")</f>
        <v>0</v>
      </c>
      <c r="AE29" t="str" cm="1">
        <f t="array" ref="AE29">IFERROR(INDEX(バンド!$A$1:$S$17,MATCH(タイムテーブル!$G29,バンド!$B$1:$B$17,0),COLUMN(バンド!S$1))&amp;"", "")</f>
        <v>0</v>
      </c>
      <c r="AF29" t="str" cm="1">
        <f t="array" ref="AF29">_xlfn.IFS(X29&lt;&gt;"1", "", OR(AND(X$1&lt;$E29-$D29, $E29-$D29&lt;X$1+60), AND(X$1&lt;$E29, $E29&lt;X$1+60)), "×", TRUE, "")</f>
        <v/>
      </c>
      <c r="AG29" t="str" cm="1">
        <f t="array" ref="AG29">_xlfn.IFS(Y29&lt;&gt;"1", "", OR(AND(Y$1&lt;$E29-$D29, $E29-$D29&lt;Y$1+60), AND(Y$1&lt;$E29, $E29&lt;Y$1+60)), "×", TRUE, "")</f>
        <v/>
      </c>
      <c r="AH29" t="str" cm="1">
        <f t="array" ref="AH29">_xlfn.IFS(Z29&lt;&gt;"1", "", OR(AND(Z$1&lt;$E29-$D29, $E29-$D29&lt;Z$1+60), AND(Z$1&lt;$E29, $E29&lt;Z$1+60)), "×", TRUE, "")</f>
        <v/>
      </c>
      <c r="AI29" t="str" cm="1">
        <f t="array" ref="AI29">_xlfn.IFS(AA29&lt;&gt;"1", "", OR(AND(AA$1&lt;$E29-$D29, $E29-$D29&lt;AA$1+60), AND(AA$1&lt;$E29, $E29&lt;AA$1+60)), "×", TRUE, "")</f>
        <v/>
      </c>
      <c r="AJ29" t="str" cm="1">
        <f t="array" ref="AJ29">_xlfn.IFS(AB29&lt;&gt;"1", "", OR(AND(AB$1&lt;$E29-$D29, $E29-$D29&lt;AB$1+60), AND(AB$1&lt;$E29, $E29&lt;AB$1+60)), "×", TRUE, "")</f>
        <v/>
      </c>
      <c r="AK29" t="str" cm="1">
        <f t="array" ref="AK29">_xlfn.IFS(AC29&lt;&gt;"1", "", OR(AND(AC$1&lt;$E29-$D29, $E29-$D29&lt;AC$1+60), AND(AC$1&lt;$E29, $E29&lt;AC$1+60)), "×", TRUE, "")</f>
        <v/>
      </c>
      <c r="AL29" t="str" cm="1">
        <f t="array" ref="AL29">_xlfn.IFS(AD29&lt;&gt;"1", "", OR(AND(AD$1&lt;$E29-$D29, $E29-$D29&lt;AD$1+60), AND(AD$1&lt;$E29, $E29&lt;AD$1+60)), "×", TRUE, "")</f>
        <v/>
      </c>
      <c r="AM29" t="str" cm="1">
        <f t="array" ref="AM29">_xlfn.IFS(AE29&lt;&gt;"1", "", OR(AND(AE$1&lt;$E29-$D29, $E29-$D29&lt;AE$1+60), AND(AE$1&lt;$E29, $E29&lt;AE$1+60)), "×", TRUE, "")</f>
        <v/>
      </c>
    </row>
    <row r="30" spans="1:39">
      <c r="A30" s="5">
        <f t="shared" si="7"/>
        <v>0.60069444444444409</v>
      </c>
      <c r="B30" s="2" t="s">
        <v>33</v>
      </c>
      <c r="C30" s="6">
        <f t="shared" si="8"/>
        <v>0.60208333333333297</v>
      </c>
      <c r="D30" s="7">
        <v>2</v>
      </c>
      <c r="E30">
        <f t="shared" si="4"/>
        <v>327</v>
      </c>
      <c r="F30" t="s">
        <v>90</v>
      </c>
      <c r="H30" t="str">
        <f>IFERROR(INDEX(バンド!$A$1:$K$17,MATCH(タイムテーブル!$F30,バンド!$J$1:$J$17,0),11), "")</f>
        <v/>
      </c>
      <c r="I30" t="str">
        <f>IFERROR(INDEX(バンド!$A$1:$K$17,MATCH(タイムテーブル!$F30,バンド!$J$1:$J$17,0),11), "")</f>
        <v/>
      </c>
      <c r="J30" t="str">
        <f t="shared" si="0"/>
        <v/>
      </c>
      <c r="K30" t="str">
        <f t="shared" si="1"/>
        <v/>
      </c>
      <c r="L30" t="str" cm="1">
        <f t="array" ref="L30">IFERROR(INDEX(バンド!$A$1:$J$17,MATCH($G30,バンド!$B$1:$B$17,0),COLUMN(バンド!C$1))&amp;"", "")</f>
        <v/>
      </c>
      <c r="M30" t="str" cm="1">
        <f t="array" ref="M30">IFERROR(INDEX(バンド!$A$1:$J$17,MATCH($G30,バンド!$B$1:$B$17,0),COLUMN(バンド!D$1))&amp;"", "")</f>
        <v/>
      </c>
      <c r="N30" t="str" cm="1">
        <f t="array" ref="N30">IFERROR(INDEX(バンド!$A$1:$J$17,MATCH($G30,バンド!$B$1:$B$17,0),COLUMN(バンド!E$1))&amp;"", "")</f>
        <v/>
      </c>
      <c r="O30" t="str" cm="1">
        <f t="array" ref="O30">IFERROR(INDEX(バンド!$A$1:$J$17,MATCH($G30,バンド!$B$1:$B$17,0),COLUMN(バンド!F$1))&amp;"", "")</f>
        <v/>
      </c>
      <c r="P30" t="str" cm="1">
        <f t="array" ref="P30">IFERROR(INDEX(バンド!$A$1:$J$17,MATCH($G30,バンド!$B$1:$B$17,0),COLUMN(バンド!G$1))&amp;"", "")</f>
        <v/>
      </c>
      <c r="Q30" t="str" cm="1">
        <f t="array" ref="Q30">IFERROR(INDEX(バンド!$A$1:$J$17,MATCH($G30,バンド!$B$1:$B$17,0),COLUMN(バンド!H$1))&amp;"", "")</f>
        <v/>
      </c>
      <c r="R30" t="str" cm="1">
        <f t="array" ref="R30">_xlfn.IFS($I30="a", 0, L30="", "", TRUE, COUNTIF($L28:$Q28, L30))</f>
        <v/>
      </c>
      <c r="S30" t="str" cm="1">
        <f t="array" ref="S30">_xlfn.IFS($I30="a", 0, M30="", "", TRUE, COUNTIF($L28:$Q28, M30))</f>
        <v/>
      </c>
      <c r="T30" t="str" cm="1">
        <f t="array" ref="T30">_xlfn.IFS($I30="a", 0, N30="", "", TRUE, COUNTIF($L28:$Q28, N30))</f>
        <v/>
      </c>
      <c r="U30" t="str" cm="1">
        <f t="array" ref="U30">_xlfn.IFS($I30="a", 0, O30="", "", TRUE, COUNTIF($L28:$Q28, O30))</f>
        <v/>
      </c>
      <c r="V30" t="str" cm="1">
        <f t="array" ref="V30">_xlfn.IFS($I30="a", 0, P30="", "", TRUE, COUNTIF($L28:$Q28, P30))</f>
        <v/>
      </c>
      <c r="W30" t="str" cm="1">
        <f t="array" ref="W30">_xlfn.IFS($I30="a", 0, Q30="", "", TRUE, COUNTIF($L28:$Q28, Q30))</f>
        <v/>
      </c>
      <c r="X30" t="str" cm="1">
        <f t="array" ref="X30">IFERROR(INDEX(バンド!$A$1:$S$17,MATCH(タイムテーブル!$G30,バンド!$B$1:$B$17,0),COLUMN(バンド!L$1))&amp;"", "")</f>
        <v/>
      </c>
      <c r="Y30" t="str" cm="1">
        <f t="array" ref="Y30">IFERROR(INDEX(バンド!$A$1:$S$17,MATCH(タイムテーブル!$G30,バンド!$B$1:$B$17,0),COLUMN(バンド!M$1))&amp;"", "")</f>
        <v/>
      </c>
      <c r="Z30" t="str" cm="1">
        <f t="array" ref="Z30">IFERROR(INDEX(バンド!$A$1:$S$17,MATCH(タイムテーブル!$G30,バンド!$B$1:$B$17,0),COLUMN(バンド!N$1))&amp;"", "")</f>
        <v/>
      </c>
      <c r="AA30" t="str" cm="1">
        <f t="array" ref="AA30">IFERROR(INDEX(バンド!$A$1:$S$17,MATCH(タイムテーブル!$G30,バンド!$B$1:$B$17,0),COLUMN(バンド!O$1))&amp;"", "")</f>
        <v/>
      </c>
      <c r="AB30" t="str" cm="1">
        <f t="array" ref="AB30">IFERROR(INDEX(バンド!$A$1:$S$17,MATCH(タイムテーブル!$G30,バンド!$B$1:$B$17,0),COLUMN(バンド!P$1))&amp;"", "")</f>
        <v/>
      </c>
      <c r="AC30" t="str" cm="1">
        <f t="array" ref="AC30">IFERROR(INDEX(バンド!$A$1:$S$17,MATCH(タイムテーブル!$G30,バンド!$B$1:$B$17,0),COLUMN(バンド!Q$1))&amp;"", "")</f>
        <v/>
      </c>
      <c r="AD30" t="str" cm="1">
        <f t="array" ref="AD30">IFERROR(INDEX(バンド!$A$1:$S$17,MATCH(タイムテーブル!$G30,バンド!$B$1:$B$17,0),COLUMN(バンド!R$1))&amp;"", "")</f>
        <v/>
      </c>
      <c r="AE30" t="str" cm="1">
        <f t="array" ref="AE30">IFERROR(INDEX(バンド!$A$1:$S$17,MATCH(タイムテーブル!$G30,バンド!$B$1:$B$17,0),COLUMN(バンド!S$1))&amp;"", "")</f>
        <v/>
      </c>
      <c r="AF30" t="str" cm="1">
        <f t="array" ref="AF30">_xlfn.IFS(X30&lt;&gt;"1", "", OR(AND(X$1&lt;$E30-$D30, $E30-$D30&lt;X$1+60), AND(X$1&lt;$E30, $E30&lt;X$1+60)), "×", TRUE, "")</f>
        <v/>
      </c>
      <c r="AG30" t="str" cm="1">
        <f t="array" ref="AG30">_xlfn.IFS(Y30&lt;&gt;"1", "", OR(AND(Y$1&lt;$E30-$D30, $E30-$D30&lt;Y$1+60), AND(Y$1&lt;$E30, $E30&lt;Y$1+60)), "×", TRUE, "")</f>
        <v/>
      </c>
      <c r="AH30" t="str" cm="1">
        <f t="array" ref="AH30">_xlfn.IFS(Z30&lt;&gt;"1", "", OR(AND(Z$1&lt;$E30-$D30, $E30-$D30&lt;Z$1+60), AND(Z$1&lt;$E30, $E30&lt;Z$1+60)), "×", TRUE, "")</f>
        <v/>
      </c>
      <c r="AI30" t="str" cm="1">
        <f t="array" ref="AI30">_xlfn.IFS(AA30&lt;&gt;"1", "", OR(AND(AA$1&lt;$E30-$D30, $E30-$D30&lt;AA$1+60), AND(AA$1&lt;$E30, $E30&lt;AA$1+60)), "×", TRUE, "")</f>
        <v/>
      </c>
      <c r="AJ30" t="str" cm="1">
        <f t="array" ref="AJ30">_xlfn.IFS(AB30&lt;&gt;"1", "", OR(AND(AB$1&lt;$E30-$D30, $E30-$D30&lt;AB$1+60), AND(AB$1&lt;$E30, $E30&lt;AB$1+60)), "×", TRUE, "")</f>
        <v/>
      </c>
      <c r="AK30" t="str" cm="1">
        <f t="array" ref="AK30">_xlfn.IFS(AC30&lt;&gt;"1", "", OR(AND(AC$1&lt;$E30-$D30, $E30-$D30&lt;AC$1+60), AND(AC$1&lt;$E30, $E30&lt;AC$1+60)), "×", TRUE, "")</f>
        <v/>
      </c>
      <c r="AL30" t="str" cm="1">
        <f t="array" ref="AL30">_xlfn.IFS(AD30&lt;&gt;"1", "", OR(AND(AD$1&lt;$E30-$D30, $E30-$D30&lt;AD$1+60), AND(AD$1&lt;$E30, $E30&lt;AD$1+60)), "×", TRUE, "")</f>
        <v/>
      </c>
      <c r="AM30" t="str" cm="1">
        <f t="array" ref="AM30">_xlfn.IFS(AE30&lt;&gt;"1", "", OR(AND(AE$1&lt;$E30-$D30, $E30-$D30&lt;AE$1+60), AND(AE$1&lt;$E30, $E30&lt;AE$1+60)), "×", TRUE, "")</f>
        <v/>
      </c>
    </row>
    <row r="31" spans="1:39">
      <c r="A31" s="5">
        <f t="shared" si="7"/>
        <v>0.60208333333333297</v>
      </c>
      <c r="B31" s="2" t="s">
        <v>33</v>
      </c>
      <c r="C31" s="6">
        <f t="shared" si="8"/>
        <v>0.61388888888888848</v>
      </c>
      <c r="D31" s="7">
        <v>17</v>
      </c>
      <c r="E31">
        <f t="shared" si="4"/>
        <v>344</v>
      </c>
      <c r="F31">
        <v>13</v>
      </c>
      <c r="G31" t="s">
        <v>38</v>
      </c>
      <c r="H31">
        <f>IFERROR(INDEX(バンド!$A$1:$K$17,MATCH(タイムテーブル!$F31,バンド!$J$1:$J$17,0),11), "")</f>
        <v>0</v>
      </c>
      <c r="I31">
        <f>IFERROR(INDEX(バンド!$A$1:$K$17,MATCH(タイムテーブル!$F31,バンド!$J$1:$J$17,0),11), "")</f>
        <v>0</v>
      </c>
      <c r="J31">
        <f t="shared" si="0"/>
        <v>0</v>
      </c>
      <c r="K31">
        <f t="shared" si="1"/>
        <v>0</v>
      </c>
      <c r="L31" t="str" cm="1">
        <f t="array" ref="L31">IFERROR(INDEX(バンド!$A$1:$J$17,MATCH($G31,バンド!$B$1:$B$17,0),COLUMN(バンド!C$1))&amp;"", "")</f>
        <v>21ハク</v>
      </c>
      <c r="M31" t="str" cm="1">
        <f t="array" ref="M31">IFERROR(INDEX(バンド!$A$1:$J$17,MATCH($G31,バンド!$B$1:$B$17,0),COLUMN(バンド!D$1))&amp;"", "")</f>
        <v>21もろ</v>
      </c>
      <c r="N31" t="str" cm="1">
        <f t="array" ref="N31">IFERROR(INDEX(バンド!$A$1:$J$17,MATCH($G31,バンド!$B$1:$B$17,0),COLUMN(バンド!E$1))&amp;"", "")</f>
        <v>22mol</v>
      </c>
      <c r="O31" t="str" cm="1">
        <f t="array" ref="O31">IFERROR(INDEX(バンド!$A$1:$J$17,MATCH($G31,バンド!$B$1:$B$17,0),COLUMN(バンド!F$1))&amp;"", "")</f>
        <v>22はーちん</v>
      </c>
      <c r="P31" t="str" cm="1">
        <f t="array" ref="P31">IFERROR(INDEX(バンド!$A$1:$J$17,MATCH($G31,バンド!$B$1:$B$17,0),COLUMN(バンド!G$1))&amp;"", "")</f>
        <v>23ゆっぴー</v>
      </c>
      <c r="Q31" t="str" cm="1">
        <f t="array" ref="Q31">IFERROR(INDEX(バンド!$A$1:$J$17,MATCH($G31,バンド!$B$1:$B$17,0),COLUMN(バンド!H$1))&amp;"", "")</f>
        <v>23あすか</v>
      </c>
      <c r="R31" cm="1">
        <f t="array" ref="R31">_xlfn.IFS($I31="a", 0, L31="", "", TRUE, COUNTIF($L29:$Q29, L31))</f>
        <v>0</v>
      </c>
      <c r="S31" cm="1">
        <f t="array" ref="S31">_xlfn.IFS($I31="a", 0, M31="", "", TRUE, COUNTIF($L29:$Q29, M31))</f>
        <v>0</v>
      </c>
      <c r="T31" cm="1">
        <f t="array" ref="T31">_xlfn.IFS($I31="a", 0, N31="", "", TRUE, COUNTIF($L29:$Q29, N31))</f>
        <v>0</v>
      </c>
      <c r="U31" cm="1">
        <f t="array" ref="U31">_xlfn.IFS($I31="a", 0, O31="", "", TRUE, COUNTIF($L29:$Q29, O31))</f>
        <v>0</v>
      </c>
      <c r="V31" cm="1">
        <f t="array" ref="V31">_xlfn.IFS($I31="a", 0, P31="", "", TRUE, COUNTIF($L29:$Q29, P31))</f>
        <v>0</v>
      </c>
      <c r="W31" cm="1">
        <f t="array" ref="W31">_xlfn.IFS($I31="a", 0, Q31="", "", TRUE, COUNTIF($L29:$Q29, Q31))</f>
        <v>0</v>
      </c>
      <c r="X31" t="str" cm="1">
        <f t="array" ref="X31">IFERROR(INDEX(バンド!$A$1:$S$17,MATCH(タイムテーブル!$G31,バンド!$B$1:$B$17,0),COLUMN(バンド!L$1))&amp;"", "")</f>
        <v>1</v>
      </c>
      <c r="Y31" t="str" cm="1">
        <f t="array" ref="Y31">IFERROR(INDEX(バンド!$A$1:$S$17,MATCH(タイムテーブル!$G31,バンド!$B$1:$B$17,0),COLUMN(バンド!M$1))&amp;"", "")</f>
        <v>1</v>
      </c>
      <c r="Z31" t="str" cm="1">
        <f t="array" ref="Z31">IFERROR(INDEX(バンド!$A$1:$S$17,MATCH(タイムテーブル!$G31,バンド!$B$1:$B$17,0),COLUMN(バンド!N$1))&amp;"", "")</f>
        <v>1</v>
      </c>
      <c r="AA31" t="str" cm="1">
        <f t="array" ref="AA31">IFERROR(INDEX(バンド!$A$1:$S$17,MATCH(タイムテーブル!$G31,バンド!$B$1:$B$17,0),COLUMN(バンド!O$1))&amp;"", "")</f>
        <v>0</v>
      </c>
      <c r="AB31" t="str" cm="1">
        <f t="array" ref="AB31">IFERROR(INDEX(バンド!$A$1:$S$17,MATCH(タイムテーブル!$G31,バンド!$B$1:$B$17,0),COLUMN(バンド!P$1))&amp;"", "")</f>
        <v>0</v>
      </c>
      <c r="AC31" t="str" cm="1">
        <f t="array" ref="AC31">IFERROR(INDEX(バンド!$A$1:$S$17,MATCH(タイムテーブル!$G31,バンド!$B$1:$B$17,0),COLUMN(バンド!Q$1))&amp;"", "")</f>
        <v>0</v>
      </c>
      <c r="AD31" t="str" cm="1">
        <f t="array" ref="AD31">IFERROR(INDEX(バンド!$A$1:$S$17,MATCH(タイムテーブル!$G31,バンド!$B$1:$B$17,0),COLUMN(バンド!R$1))&amp;"", "")</f>
        <v>0</v>
      </c>
      <c r="AE31" t="str" cm="1">
        <f t="array" ref="AE31">IFERROR(INDEX(バンド!$A$1:$S$17,MATCH(タイムテーブル!$G31,バンド!$B$1:$B$17,0),COLUMN(バンド!S$1))&amp;"", "")</f>
        <v>0</v>
      </c>
      <c r="AF31" t="str" cm="1">
        <f t="array" ref="AF31">_xlfn.IFS(X31&lt;&gt;"1", "", OR(AND(X$1&lt;$E31-$D31, $E31-$D31&lt;X$1+60), AND(X$1&lt;$E31, $E31&lt;X$1+60)), "×", TRUE, "")</f>
        <v/>
      </c>
      <c r="AG31" t="str" cm="1">
        <f t="array" ref="AG31">_xlfn.IFS(Y31&lt;&gt;"1", "", OR(AND(Y$1&lt;$E31-$D31, $E31-$D31&lt;Y$1+60), AND(Y$1&lt;$E31, $E31&lt;Y$1+60)), "×", TRUE, "")</f>
        <v/>
      </c>
      <c r="AH31" t="str" cm="1">
        <f t="array" ref="AH31">_xlfn.IFS(Z31&lt;&gt;"1", "", OR(AND(Z$1&lt;$E31-$D31, $E31-$D31&lt;Z$1+60), AND(Z$1&lt;$E31, $E31&lt;Z$1+60)), "×", TRUE, "")</f>
        <v/>
      </c>
      <c r="AI31" t="str" cm="1">
        <f t="array" ref="AI31">_xlfn.IFS(AA31&lt;&gt;"1", "", OR(AND(AA$1&lt;$E31-$D31, $E31-$D31&lt;AA$1+60), AND(AA$1&lt;$E31, $E31&lt;AA$1+60)), "×", TRUE, "")</f>
        <v/>
      </c>
      <c r="AJ31" t="str" cm="1">
        <f t="array" ref="AJ31">_xlfn.IFS(AB31&lt;&gt;"1", "", OR(AND(AB$1&lt;$E31-$D31, $E31-$D31&lt;AB$1+60), AND(AB$1&lt;$E31, $E31&lt;AB$1+60)), "×", TRUE, "")</f>
        <v/>
      </c>
      <c r="AK31" t="str" cm="1">
        <f t="array" ref="AK31">_xlfn.IFS(AC31&lt;&gt;"1", "", OR(AND(AC$1&lt;$E31-$D31, $E31-$D31&lt;AC$1+60), AND(AC$1&lt;$E31, $E31&lt;AC$1+60)), "×", TRUE, "")</f>
        <v/>
      </c>
      <c r="AL31" t="str" cm="1">
        <f t="array" ref="AL31">_xlfn.IFS(AD31&lt;&gt;"1", "", OR(AND(AD$1&lt;$E31-$D31, $E31-$D31&lt;AD$1+60), AND(AD$1&lt;$E31, $E31&lt;AD$1+60)), "×", TRUE, "")</f>
        <v/>
      </c>
      <c r="AM31" t="str" cm="1">
        <f t="array" ref="AM31">_xlfn.IFS(AE31&lt;&gt;"1", "", OR(AND(AE$1&lt;$E31-$D31, $E31-$D31&lt;AE$1+60), AND(AE$1&lt;$E31, $E31&lt;AE$1+60)), "×", TRUE, "")</f>
        <v/>
      </c>
    </row>
    <row r="32" spans="1:39">
      <c r="A32" s="5">
        <f t="shared" si="7"/>
        <v>0.61388888888888848</v>
      </c>
      <c r="B32" s="2" t="s">
        <v>33</v>
      </c>
      <c r="C32" s="6">
        <f t="shared" si="8"/>
        <v>0.61527777777777737</v>
      </c>
      <c r="D32" s="7">
        <v>2</v>
      </c>
      <c r="E32">
        <f t="shared" si="4"/>
        <v>346</v>
      </c>
      <c r="F32" t="s">
        <v>90</v>
      </c>
      <c r="H32" t="str">
        <f>IFERROR(INDEX(バンド!$A$1:$K$17,MATCH(タイムテーブル!$F32,バンド!$J$1:$J$17,0),11), "")</f>
        <v/>
      </c>
      <c r="I32" t="str">
        <f>IFERROR(INDEX(バンド!$A$1:$K$17,MATCH(タイムテーブル!$F32,バンド!$J$1:$J$17,0),11), "")</f>
        <v/>
      </c>
      <c r="J32" t="str">
        <f t="shared" si="0"/>
        <v/>
      </c>
      <c r="K32" t="str">
        <f t="shared" si="1"/>
        <v/>
      </c>
      <c r="L32" t="str" cm="1">
        <f t="array" ref="L32">IFERROR(INDEX(バンド!$A$1:$J$17,MATCH($G32,バンド!$B$1:$B$17,0),COLUMN(バンド!C$1))&amp;"", "")</f>
        <v/>
      </c>
      <c r="M32" t="str" cm="1">
        <f t="array" ref="M32">IFERROR(INDEX(バンド!$A$1:$J$17,MATCH($G32,バンド!$B$1:$B$17,0),COLUMN(バンド!D$1))&amp;"", "")</f>
        <v/>
      </c>
      <c r="N32" t="str" cm="1">
        <f t="array" ref="N32">IFERROR(INDEX(バンド!$A$1:$J$17,MATCH($G32,バンド!$B$1:$B$17,0),COLUMN(バンド!E$1))&amp;"", "")</f>
        <v/>
      </c>
      <c r="O32" t="str" cm="1">
        <f t="array" ref="O32">IFERROR(INDEX(バンド!$A$1:$J$17,MATCH($G32,バンド!$B$1:$B$17,0),COLUMN(バンド!F$1))&amp;"", "")</f>
        <v/>
      </c>
      <c r="P32" t="str" cm="1">
        <f t="array" ref="P32">IFERROR(INDEX(バンド!$A$1:$J$17,MATCH($G32,バンド!$B$1:$B$17,0),COLUMN(バンド!G$1))&amp;"", "")</f>
        <v/>
      </c>
      <c r="Q32" t="str" cm="1">
        <f t="array" ref="Q32">IFERROR(INDEX(バンド!$A$1:$J$17,MATCH($G32,バンド!$B$1:$B$17,0),COLUMN(バンド!H$1))&amp;"", "")</f>
        <v/>
      </c>
      <c r="R32" t="str" cm="1">
        <f t="array" ref="R32">_xlfn.IFS($I32="a", 0, L32="", "", TRUE, COUNTIF($L30:$Q30, L32))</f>
        <v/>
      </c>
      <c r="S32" t="str" cm="1">
        <f t="array" ref="S32">_xlfn.IFS($I32="a", 0, M32="", "", TRUE, COUNTIF($L30:$Q30, M32))</f>
        <v/>
      </c>
      <c r="T32" t="str" cm="1">
        <f t="array" ref="T32">_xlfn.IFS($I32="a", 0, N32="", "", TRUE, COUNTIF($L30:$Q30, N32))</f>
        <v/>
      </c>
      <c r="U32" t="str" cm="1">
        <f t="array" ref="U32">_xlfn.IFS($I32="a", 0, O32="", "", TRUE, COUNTIF($L30:$Q30, O32))</f>
        <v/>
      </c>
      <c r="V32" t="str" cm="1">
        <f t="array" ref="V32">_xlfn.IFS($I32="a", 0, P32="", "", TRUE, COUNTIF($L30:$Q30, P32))</f>
        <v/>
      </c>
      <c r="W32" t="str" cm="1">
        <f t="array" ref="W32">_xlfn.IFS($I32="a", 0, Q32="", "", TRUE, COUNTIF($L30:$Q30, Q32))</f>
        <v/>
      </c>
      <c r="X32" t="str" cm="1">
        <f t="array" ref="X32">IFERROR(INDEX(バンド!$A$1:$S$17,MATCH(タイムテーブル!$G32,バンド!$B$1:$B$17,0),COLUMN(バンド!L$1))&amp;"", "")</f>
        <v/>
      </c>
      <c r="Y32" t="str" cm="1">
        <f t="array" ref="Y32">IFERROR(INDEX(バンド!$A$1:$S$17,MATCH(タイムテーブル!$G32,バンド!$B$1:$B$17,0),COLUMN(バンド!M$1))&amp;"", "")</f>
        <v/>
      </c>
      <c r="Z32" t="str" cm="1">
        <f t="array" ref="Z32">IFERROR(INDEX(バンド!$A$1:$S$17,MATCH(タイムテーブル!$G32,バンド!$B$1:$B$17,0),COLUMN(バンド!N$1))&amp;"", "")</f>
        <v/>
      </c>
      <c r="AA32" t="str" cm="1">
        <f t="array" ref="AA32">IFERROR(INDEX(バンド!$A$1:$S$17,MATCH(タイムテーブル!$G32,バンド!$B$1:$B$17,0),COLUMN(バンド!O$1))&amp;"", "")</f>
        <v/>
      </c>
      <c r="AB32" t="str" cm="1">
        <f t="array" ref="AB32">IFERROR(INDEX(バンド!$A$1:$S$17,MATCH(タイムテーブル!$G32,バンド!$B$1:$B$17,0),COLUMN(バンド!P$1))&amp;"", "")</f>
        <v/>
      </c>
      <c r="AC32" t="str" cm="1">
        <f t="array" ref="AC32">IFERROR(INDEX(バンド!$A$1:$S$17,MATCH(タイムテーブル!$G32,バンド!$B$1:$B$17,0),COLUMN(バンド!Q$1))&amp;"", "")</f>
        <v/>
      </c>
      <c r="AD32" t="str" cm="1">
        <f t="array" ref="AD32">IFERROR(INDEX(バンド!$A$1:$S$17,MATCH(タイムテーブル!$G32,バンド!$B$1:$B$17,0),COLUMN(バンド!R$1))&amp;"", "")</f>
        <v/>
      </c>
      <c r="AE32" t="str" cm="1">
        <f t="array" ref="AE32">IFERROR(INDEX(バンド!$A$1:$S$17,MATCH(タイムテーブル!$G32,バンド!$B$1:$B$17,0),COLUMN(バンド!S$1))&amp;"", "")</f>
        <v/>
      </c>
      <c r="AF32" t="str" cm="1">
        <f t="array" ref="AF32">_xlfn.IFS(X32&lt;&gt;"1", "", OR(AND(X$1&lt;$E32-$D32, $E32-$D32&lt;X$1+60), AND(X$1&lt;$E32, $E32&lt;X$1+60)), "×", TRUE, "")</f>
        <v/>
      </c>
      <c r="AG32" t="str" cm="1">
        <f t="array" ref="AG32">_xlfn.IFS(Y32&lt;&gt;"1", "", OR(AND(Y$1&lt;$E32-$D32, $E32-$D32&lt;Y$1+60), AND(Y$1&lt;$E32, $E32&lt;Y$1+60)), "×", TRUE, "")</f>
        <v/>
      </c>
      <c r="AH32" t="str" cm="1">
        <f t="array" ref="AH32">_xlfn.IFS(Z32&lt;&gt;"1", "", OR(AND(Z$1&lt;$E32-$D32, $E32-$D32&lt;Z$1+60), AND(Z$1&lt;$E32, $E32&lt;Z$1+60)), "×", TRUE, "")</f>
        <v/>
      </c>
      <c r="AI32" t="str" cm="1">
        <f t="array" ref="AI32">_xlfn.IFS(AA32&lt;&gt;"1", "", OR(AND(AA$1&lt;$E32-$D32, $E32-$D32&lt;AA$1+60), AND(AA$1&lt;$E32, $E32&lt;AA$1+60)), "×", TRUE, "")</f>
        <v/>
      </c>
      <c r="AJ32" t="str" cm="1">
        <f t="array" ref="AJ32">_xlfn.IFS(AB32&lt;&gt;"1", "", OR(AND(AB$1&lt;$E32-$D32, $E32-$D32&lt;AB$1+60), AND(AB$1&lt;$E32, $E32&lt;AB$1+60)), "×", TRUE, "")</f>
        <v/>
      </c>
      <c r="AK32" t="str" cm="1">
        <f t="array" ref="AK32">_xlfn.IFS(AC32&lt;&gt;"1", "", OR(AND(AC$1&lt;$E32-$D32, $E32-$D32&lt;AC$1+60), AND(AC$1&lt;$E32, $E32&lt;AC$1+60)), "×", TRUE, "")</f>
        <v/>
      </c>
      <c r="AL32" t="str" cm="1">
        <f t="array" ref="AL32">_xlfn.IFS(AD32&lt;&gt;"1", "", OR(AND(AD$1&lt;$E32-$D32, $E32-$D32&lt;AD$1+60), AND(AD$1&lt;$E32, $E32&lt;AD$1+60)), "×", TRUE, "")</f>
        <v/>
      </c>
      <c r="AM32" t="str" cm="1">
        <f t="array" ref="AM32">_xlfn.IFS(AE32&lt;&gt;"1", "", OR(AND(AE$1&lt;$E32-$D32, $E32-$D32&lt;AE$1+60), AND(AE$1&lt;$E32, $E32&lt;AE$1+60)), "×", TRUE, "")</f>
        <v/>
      </c>
    </row>
    <row r="33" spans="1:39">
      <c r="A33" s="5">
        <f t="shared" si="7"/>
        <v>0.61527777777777737</v>
      </c>
      <c r="B33" s="2" t="s">
        <v>33</v>
      </c>
      <c r="C33" s="6">
        <f t="shared" si="8"/>
        <v>0.62708333333333288</v>
      </c>
      <c r="D33" s="7">
        <v>17</v>
      </c>
      <c r="E33">
        <f t="shared" si="4"/>
        <v>363</v>
      </c>
      <c r="F33">
        <v>14</v>
      </c>
      <c r="G33" t="s">
        <v>40</v>
      </c>
      <c r="H33">
        <f>IFERROR(INDEX(バンド!$A$1:$K$17,MATCH(タイムテーブル!$F33,バンド!$J$1:$J$17,0),11), "")</f>
        <v>0</v>
      </c>
      <c r="I33">
        <f>IFERROR(INDEX(バンド!$A$1:$K$17,MATCH(タイムテーブル!$F33,バンド!$J$1:$J$17,0),11), "")</f>
        <v>0</v>
      </c>
      <c r="J33">
        <f t="shared" si="0"/>
        <v>0</v>
      </c>
      <c r="K33">
        <f t="shared" si="1"/>
        <v>0</v>
      </c>
      <c r="L33" t="str" cm="1">
        <f t="array" ref="L33">IFERROR(INDEX(バンド!$A$1:$J$17,MATCH($G33,バンド!$B$1:$B$17,0),COLUMN(バンド!C$1))&amp;"", "")</f>
        <v>21けんたろう</v>
      </c>
      <c r="M33" t="str" cm="1">
        <f t="array" ref="M33">IFERROR(INDEX(バンド!$A$1:$J$17,MATCH($G33,バンド!$B$1:$B$17,0),COLUMN(バンド!D$1))&amp;"", "")</f>
        <v>21もち</v>
      </c>
      <c r="N33" t="str" cm="1">
        <f t="array" ref="N33">IFERROR(INDEX(バンド!$A$1:$J$17,MATCH($G33,バンド!$B$1:$B$17,0),COLUMN(バンド!E$1))&amp;"", "")</f>
        <v>22くる</v>
      </c>
      <c r="O33" t="str" cm="1">
        <f t="array" ref="O33">IFERROR(INDEX(バンド!$A$1:$J$17,MATCH($G33,バンド!$B$1:$B$17,0),COLUMN(バンド!F$1))&amp;"", "")</f>
        <v>22hiroki</v>
      </c>
      <c r="P33" t="str" cm="1">
        <f t="array" ref="P33">IFERROR(INDEX(バンド!$A$1:$J$17,MATCH($G33,バンド!$B$1:$B$17,0),COLUMN(バンド!G$1))&amp;"", "")</f>
        <v>23つかでぃー</v>
      </c>
      <c r="Q33" t="str" cm="1">
        <f t="array" ref="Q33">IFERROR(INDEX(バンド!$A$1:$J$17,MATCH($G33,バンド!$B$1:$B$17,0),COLUMN(バンド!H$1))&amp;"", "")</f>
        <v>23ひなの</v>
      </c>
      <c r="R33" cm="1">
        <f t="array" ref="R33">_xlfn.IFS($I33="a", 0, L33="", "", TRUE, COUNTIF($L31:$Q31, L33))</f>
        <v>0</v>
      </c>
      <c r="S33" cm="1">
        <f t="array" ref="S33">_xlfn.IFS($I33="a", 0, M33="", "", TRUE, COUNTIF($L31:$Q31, M33))</f>
        <v>0</v>
      </c>
      <c r="T33" cm="1">
        <f t="array" ref="T33">_xlfn.IFS($I33="a", 0, N33="", "", TRUE, COUNTIF($L31:$Q31, N33))</f>
        <v>0</v>
      </c>
      <c r="U33" cm="1">
        <f t="array" ref="U33">_xlfn.IFS($I33="a", 0, O33="", "", TRUE, COUNTIF($L31:$Q31, O33))</f>
        <v>0</v>
      </c>
      <c r="V33" cm="1">
        <f t="array" ref="V33">_xlfn.IFS($I33="a", 0, P33="", "", TRUE, COUNTIF($L31:$Q31, P33))</f>
        <v>0</v>
      </c>
      <c r="W33" cm="1">
        <f t="array" ref="W33">_xlfn.IFS($I33="a", 0, Q33="", "", TRUE, COUNTIF($L31:$Q31, Q33))</f>
        <v>0</v>
      </c>
      <c r="X33" t="str" cm="1">
        <f t="array" ref="X33">IFERROR(INDEX(バンド!$A$1:$S$17,MATCH(タイムテーブル!$G33,バンド!$B$1:$B$17,0),COLUMN(バンド!L$1))&amp;"", "")</f>
        <v>0</v>
      </c>
      <c r="Y33" t="str" cm="1">
        <f t="array" ref="Y33">IFERROR(INDEX(バンド!$A$1:$S$17,MATCH(タイムテーブル!$G33,バンド!$B$1:$B$17,0),COLUMN(バンド!M$1))&amp;"", "")</f>
        <v>0</v>
      </c>
      <c r="Z33" t="str" cm="1">
        <f t="array" ref="Z33">IFERROR(INDEX(バンド!$A$1:$S$17,MATCH(タイムテーブル!$G33,バンド!$B$1:$B$17,0),COLUMN(バンド!N$1))&amp;"", "")</f>
        <v>0</v>
      </c>
      <c r="AA33" t="str" cm="1">
        <f t="array" ref="AA33">IFERROR(INDEX(バンド!$A$1:$S$17,MATCH(タイムテーブル!$G33,バンド!$B$1:$B$17,0),COLUMN(バンド!O$1))&amp;"", "")</f>
        <v>0</v>
      </c>
      <c r="AB33" t="str" cm="1">
        <f t="array" ref="AB33">IFERROR(INDEX(バンド!$A$1:$S$17,MATCH(タイムテーブル!$G33,バンド!$B$1:$B$17,0),COLUMN(バンド!P$1))&amp;"", "")</f>
        <v>0</v>
      </c>
      <c r="AC33" t="str" cm="1">
        <f t="array" ref="AC33">IFERROR(INDEX(バンド!$A$1:$S$17,MATCH(タイムテーブル!$G33,バンド!$B$1:$B$17,0),COLUMN(バンド!Q$1))&amp;"", "")</f>
        <v>0</v>
      </c>
      <c r="AD33" t="str" cm="1">
        <f t="array" ref="AD33">IFERROR(INDEX(バンド!$A$1:$S$17,MATCH(タイムテーブル!$G33,バンド!$B$1:$B$17,0),COLUMN(バンド!R$1))&amp;"", "")</f>
        <v>0</v>
      </c>
      <c r="AE33" t="str" cm="1">
        <f t="array" ref="AE33">IFERROR(INDEX(バンド!$A$1:$S$17,MATCH(タイムテーブル!$G33,バンド!$B$1:$B$17,0),COLUMN(バンド!S$1))&amp;"", "")</f>
        <v>0</v>
      </c>
      <c r="AF33" t="str" cm="1">
        <f t="array" ref="AF33">_xlfn.IFS(X33&lt;&gt;"1", "", OR(AND(X$1&lt;$E33-$D33, $E33-$D33&lt;X$1+60), AND(X$1&lt;$E33, $E33&lt;X$1+60)), "×", TRUE, "")</f>
        <v/>
      </c>
      <c r="AG33" t="str" cm="1">
        <f t="array" ref="AG33">_xlfn.IFS(Y33&lt;&gt;"1", "", OR(AND(Y$1&lt;$E33-$D33, $E33-$D33&lt;Y$1+60), AND(Y$1&lt;$E33, $E33&lt;Y$1+60)), "×", TRUE, "")</f>
        <v/>
      </c>
      <c r="AH33" t="str" cm="1">
        <f t="array" ref="AH33">_xlfn.IFS(Z33&lt;&gt;"1", "", OR(AND(Z$1&lt;$E33-$D33, $E33-$D33&lt;Z$1+60), AND(Z$1&lt;$E33, $E33&lt;Z$1+60)), "×", TRUE, "")</f>
        <v/>
      </c>
      <c r="AI33" t="str" cm="1">
        <f t="array" ref="AI33">_xlfn.IFS(AA33&lt;&gt;"1", "", OR(AND(AA$1&lt;$E33-$D33, $E33-$D33&lt;AA$1+60), AND(AA$1&lt;$E33, $E33&lt;AA$1+60)), "×", TRUE, "")</f>
        <v/>
      </c>
      <c r="AJ33" t="str" cm="1">
        <f t="array" ref="AJ33">_xlfn.IFS(AB33&lt;&gt;"1", "", OR(AND(AB$1&lt;$E33-$D33, $E33-$D33&lt;AB$1+60), AND(AB$1&lt;$E33, $E33&lt;AB$1+60)), "×", TRUE, "")</f>
        <v/>
      </c>
      <c r="AK33" t="str" cm="1">
        <f t="array" ref="AK33">_xlfn.IFS(AC33&lt;&gt;"1", "", OR(AND(AC$1&lt;$E33-$D33, $E33-$D33&lt;AC$1+60), AND(AC$1&lt;$E33, $E33&lt;AC$1+60)), "×", TRUE, "")</f>
        <v/>
      </c>
      <c r="AL33" t="str" cm="1">
        <f t="array" ref="AL33">_xlfn.IFS(AD33&lt;&gt;"1", "", OR(AND(AD$1&lt;$E33-$D33, $E33-$D33&lt;AD$1+60), AND(AD$1&lt;$E33, $E33&lt;AD$1+60)), "×", TRUE, "")</f>
        <v/>
      </c>
      <c r="AM33" t="str" cm="1">
        <f t="array" ref="AM33">_xlfn.IFS(AE33&lt;&gt;"1", "", OR(AND(AE$1&lt;$E33-$D33, $E33-$D33&lt;AE$1+60), AND(AE$1&lt;$E33, $E33&lt;AE$1+60)), "×", TRUE, "")</f>
        <v/>
      </c>
    </row>
    <row r="34" spans="1:39">
      <c r="A34" s="5">
        <f t="shared" si="7"/>
        <v>0.62708333333333288</v>
      </c>
      <c r="B34" s="2" t="s">
        <v>33</v>
      </c>
      <c r="C34" s="6">
        <f t="shared" si="8"/>
        <v>0.62847222222222177</v>
      </c>
      <c r="D34" s="7">
        <v>2</v>
      </c>
      <c r="E34">
        <f t="shared" si="4"/>
        <v>365</v>
      </c>
      <c r="F34" t="s">
        <v>90</v>
      </c>
      <c r="H34" t="str">
        <f>IFERROR(INDEX(バンド!$A$1:$K$17,MATCH(タイムテーブル!$F34,バンド!$J$1:$J$17,0),11), "")</f>
        <v/>
      </c>
      <c r="I34" t="str">
        <f>IFERROR(INDEX(バンド!$A$1:$K$17,MATCH(タイムテーブル!$F34,バンド!$J$1:$J$17,0),11), "")</f>
        <v/>
      </c>
      <c r="J34" t="str">
        <f t="shared" si="0"/>
        <v/>
      </c>
      <c r="K34" t="str">
        <f t="shared" si="1"/>
        <v/>
      </c>
      <c r="L34" t="str" cm="1">
        <f t="array" ref="L34">IFERROR(INDEX(バンド!$A$1:$J$17,MATCH($G34,バンド!$B$1:$B$17,0),COLUMN(バンド!C$1))&amp;"", "")</f>
        <v/>
      </c>
      <c r="M34" t="str" cm="1">
        <f t="array" ref="M34">IFERROR(INDEX(バンド!$A$1:$J$17,MATCH($G34,バンド!$B$1:$B$17,0),COLUMN(バンド!D$1))&amp;"", "")</f>
        <v/>
      </c>
      <c r="N34" t="str" cm="1">
        <f t="array" ref="N34">IFERROR(INDEX(バンド!$A$1:$J$17,MATCH($G34,バンド!$B$1:$B$17,0),COLUMN(バンド!E$1))&amp;"", "")</f>
        <v/>
      </c>
      <c r="O34" t="str" cm="1">
        <f t="array" ref="O34">IFERROR(INDEX(バンド!$A$1:$J$17,MATCH($G34,バンド!$B$1:$B$17,0),COLUMN(バンド!F$1))&amp;"", "")</f>
        <v/>
      </c>
      <c r="P34" t="str" cm="1">
        <f t="array" ref="P34">IFERROR(INDEX(バンド!$A$1:$J$17,MATCH($G34,バンド!$B$1:$B$17,0),COLUMN(バンド!G$1))&amp;"", "")</f>
        <v/>
      </c>
      <c r="Q34" t="str" cm="1">
        <f t="array" ref="Q34">IFERROR(INDEX(バンド!$A$1:$J$17,MATCH($G34,バンド!$B$1:$B$17,0),COLUMN(バンド!H$1))&amp;"", "")</f>
        <v/>
      </c>
      <c r="R34" t="str" cm="1">
        <f t="array" ref="R34">_xlfn.IFS($I34="a", 0, L34="", "", TRUE, COUNTIF($L32:$Q32, L34))</f>
        <v/>
      </c>
      <c r="S34" t="str" cm="1">
        <f t="array" ref="S34">_xlfn.IFS($I34="a", 0, M34="", "", TRUE, COUNTIF($L32:$Q32, M34))</f>
        <v/>
      </c>
      <c r="T34" t="str" cm="1">
        <f t="array" ref="T34">_xlfn.IFS($I34="a", 0, N34="", "", TRUE, COUNTIF($L32:$Q32, N34))</f>
        <v/>
      </c>
      <c r="U34" t="str" cm="1">
        <f t="array" ref="U34">_xlfn.IFS($I34="a", 0, O34="", "", TRUE, COUNTIF($L32:$Q32, O34))</f>
        <v/>
      </c>
      <c r="V34" t="str" cm="1">
        <f t="array" ref="V34">_xlfn.IFS($I34="a", 0, P34="", "", TRUE, COUNTIF($L32:$Q32, P34))</f>
        <v/>
      </c>
      <c r="W34" t="str" cm="1">
        <f t="array" ref="W34">_xlfn.IFS($I34="a", 0, Q34="", "", TRUE, COUNTIF($L32:$Q32, Q34))</f>
        <v/>
      </c>
      <c r="X34" t="str" cm="1">
        <f t="array" ref="X34">IFERROR(INDEX(バンド!$A$1:$S$17,MATCH(タイムテーブル!$G34,バンド!$B$1:$B$17,0),COLUMN(バンド!L$1))&amp;"", "")</f>
        <v/>
      </c>
      <c r="Y34" t="str" cm="1">
        <f t="array" ref="Y34">IFERROR(INDEX(バンド!$A$1:$S$17,MATCH(タイムテーブル!$G34,バンド!$B$1:$B$17,0),COLUMN(バンド!M$1))&amp;"", "")</f>
        <v/>
      </c>
      <c r="Z34" t="str" cm="1">
        <f t="array" ref="Z34">IFERROR(INDEX(バンド!$A$1:$S$17,MATCH(タイムテーブル!$G34,バンド!$B$1:$B$17,0),COLUMN(バンド!N$1))&amp;"", "")</f>
        <v/>
      </c>
      <c r="AA34" t="str" cm="1">
        <f t="array" ref="AA34">IFERROR(INDEX(バンド!$A$1:$S$17,MATCH(タイムテーブル!$G34,バンド!$B$1:$B$17,0),COLUMN(バンド!O$1))&amp;"", "")</f>
        <v/>
      </c>
      <c r="AB34" t="str" cm="1">
        <f t="array" ref="AB34">IFERROR(INDEX(バンド!$A$1:$S$17,MATCH(タイムテーブル!$G34,バンド!$B$1:$B$17,0),COLUMN(バンド!P$1))&amp;"", "")</f>
        <v/>
      </c>
      <c r="AC34" t="str" cm="1">
        <f t="array" ref="AC34">IFERROR(INDEX(バンド!$A$1:$S$17,MATCH(タイムテーブル!$G34,バンド!$B$1:$B$17,0),COLUMN(バンド!Q$1))&amp;"", "")</f>
        <v/>
      </c>
      <c r="AD34" t="str" cm="1">
        <f t="array" ref="AD34">IFERROR(INDEX(バンド!$A$1:$S$17,MATCH(タイムテーブル!$G34,バンド!$B$1:$B$17,0),COLUMN(バンド!R$1))&amp;"", "")</f>
        <v/>
      </c>
      <c r="AE34" t="str" cm="1">
        <f t="array" ref="AE34">IFERROR(INDEX(バンド!$A$1:$S$17,MATCH(タイムテーブル!$G34,バンド!$B$1:$B$17,0),COLUMN(バンド!S$1))&amp;"", "")</f>
        <v/>
      </c>
      <c r="AF34" t="str" cm="1">
        <f t="array" ref="AF34">_xlfn.IFS(X34&lt;&gt;"1", "", OR(AND(X$1&lt;$E34-$D34, $E34-$D34&lt;X$1+60), AND(X$1&lt;$E34, $E34&lt;X$1+60)), "×", TRUE, "")</f>
        <v/>
      </c>
      <c r="AG34" t="str" cm="1">
        <f t="array" ref="AG34">_xlfn.IFS(Y34&lt;&gt;"1", "", OR(AND(Y$1&lt;$E34-$D34, $E34-$D34&lt;Y$1+60), AND(Y$1&lt;$E34, $E34&lt;Y$1+60)), "×", TRUE, "")</f>
        <v/>
      </c>
      <c r="AH34" t="str" cm="1">
        <f t="array" ref="AH34">_xlfn.IFS(Z34&lt;&gt;"1", "", OR(AND(Z$1&lt;$E34-$D34, $E34-$D34&lt;Z$1+60), AND(Z$1&lt;$E34, $E34&lt;Z$1+60)), "×", TRUE, "")</f>
        <v/>
      </c>
      <c r="AI34" t="str" cm="1">
        <f t="array" ref="AI34">_xlfn.IFS(AA34&lt;&gt;"1", "", OR(AND(AA$1&lt;$E34-$D34, $E34-$D34&lt;AA$1+60), AND(AA$1&lt;$E34, $E34&lt;AA$1+60)), "×", TRUE, "")</f>
        <v/>
      </c>
      <c r="AJ34" t="str" cm="1">
        <f t="array" ref="AJ34">_xlfn.IFS(AB34&lt;&gt;"1", "", OR(AND(AB$1&lt;$E34-$D34, $E34-$D34&lt;AB$1+60), AND(AB$1&lt;$E34, $E34&lt;AB$1+60)), "×", TRUE, "")</f>
        <v/>
      </c>
      <c r="AK34" t="str" cm="1">
        <f t="array" ref="AK34">_xlfn.IFS(AC34&lt;&gt;"1", "", OR(AND(AC$1&lt;$E34-$D34, $E34-$D34&lt;AC$1+60), AND(AC$1&lt;$E34, $E34&lt;AC$1+60)), "×", TRUE, "")</f>
        <v/>
      </c>
      <c r="AL34" t="str" cm="1">
        <f t="array" ref="AL34">_xlfn.IFS(AD34&lt;&gt;"1", "", OR(AND(AD$1&lt;$E34-$D34, $E34-$D34&lt;AD$1+60), AND(AD$1&lt;$E34, $E34&lt;AD$1+60)), "×", TRUE, "")</f>
        <v/>
      </c>
      <c r="AM34" t="str" cm="1">
        <f t="array" ref="AM34">_xlfn.IFS(AE34&lt;&gt;"1", "", OR(AND(AE$1&lt;$E34-$D34, $E34-$D34&lt;AE$1+60), AND(AE$1&lt;$E34, $E34&lt;AE$1+60)), "×", TRUE, "")</f>
        <v/>
      </c>
    </row>
    <row r="35" spans="1:39">
      <c r="A35" s="5">
        <f t="shared" si="7"/>
        <v>0.62847222222222177</v>
      </c>
      <c r="B35" s="2" t="s">
        <v>33</v>
      </c>
      <c r="C35" s="6">
        <f t="shared" si="8"/>
        <v>0.64027777777777728</v>
      </c>
      <c r="D35" s="7">
        <v>17</v>
      </c>
      <c r="E35">
        <f t="shared" si="4"/>
        <v>382</v>
      </c>
      <c r="F35">
        <v>15</v>
      </c>
      <c r="G35" t="s">
        <v>82</v>
      </c>
      <c r="H35">
        <f>IFERROR(INDEX(バンド!$A$1:$K$17,MATCH(タイムテーブル!$F35,バンド!$J$1:$J$17,0),11), "")</f>
        <v>0</v>
      </c>
      <c r="I35">
        <f>IFERROR(INDEX(バンド!$A$1:$K$17,MATCH(タイムテーブル!$F35,バンド!$J$1:$J$17,0),11), "")</f>
        <v>0</v>
      </c>
      <c r="J35">
        <f t="shared" si="0"/>
        <v>0</v>
      </c>
      <c r="K35">
        <f t="shared" si="1"/>
        <v>0</v>
      </c>
      <c r="L35" t="str" cm="1">
        <f t="array" ref="L35">IFERROR(INDEX(バンド!$A$1:$J$17,MATCH($G35,バンド!$B$1:$B$17,0),COLUMN(バンド!C$1))&amp;"", "")</f>
        <v>21かこ</v>
      </c>
      <c r="M35" t="str" cm="1">
        <f t="array" ref="M35">IFERROR(INDEX(バンド!$A$1:$J$17,MATCH($G35,バンド!$B$1:$B$17,0),COLUMN(バンド!D$1))&amp;"", "")</f>
        <v>21ハク</v>
      </c>
      <c r="N35" t="str" cm="1">
        <f t="array" ref="N35">IFERROR(INDEX(バンド!$A$1:$J$17,MATCH($G35,バンド!$B$1:$B$17,0),COLUMN(バンド!E$1))&amp;"", "")</f>
        <v>21まお</v>
      </c>
      <c r="O35" t="str" cm="1">
        <f t="array" ref="O35">IFERROR(INDEX(バンド!$A$1:$J$17,MATCH($G35,バンド!$B$1:$B$17,0),COLUMN(バンド!F$1))&amp;"", "")</f>
        <v>21よし</v>
      </c>
      <c r="P35" t="str" cm="1">
        <f t="array" ref="P35">IFERROR(INDEX(バンド!$A$1:$J$17,MATCH($G35,バンド!$B$1:$B$17,0),COLUMN(バンド!G$1))&amp;"", "")</f>
        <v>22なべ</v>
      </c>
      <c r="Q35" t="str" cm="1">
        <f t="array" ref="Q35">IFERROR(INDEX(バンド!$A$1:$J$17,MATCH($G35,バンド!$B$1:$B$17,0),COLUMN(バンド!H$1))&amp;"", "")</f>
        <v>23ゆっぴー</v>
      </c>
      <c r="R35" cm="1">
        <f t="array" ref="R35">_xlfn.IFS($I35="a", 0, L35="", "", TRUE, COUNTIF($L33:$Q33, L35))</f>
        <v>0</v>
      </c>
      <c r="S35" cm="1">
        <f t="array" ref="S35">_xlfn.IFS($I35="a", 0, M35="", "", TRUE, COUNTIF($L33:$Q33, M35))</f>
        <v>0</v>
      </c>
      <c r="T35" cm="1">
        <f t="array" ref="T35">_xlfn.IFS($I35="a", 0, N35="", "", TRUE, COUNTIF($L33:$Q33, N35))</f>
        <v>0</v>
      </c>
      <c r="U35" cm="1">
        <f t="array" ref="U35">_xlfn.IFS($I35="a", 0, O35="", "", TRUE, COUNTIF($L33:$Q33, O35))</f>
        <v>0</v>
      </c>
      <c r="V35" cm="1">
        <f t="array" ref="V35">_xlfn.IFS($I35="a", 0, P35="", "", TRUE, COUNTIF($L33:$Q33, P35))</f>
        <v>0</v>
      </c>
      <c r="W35" cm="1">
        <f t="array" ref="W35">_xlfn.IFS($I35="a", 0, Q35="", "", TRUE, COUNTIF($L33:$Q33, Q35))</f>
        <v>0</v>
      </c>
      <c r="X35" t="str" cm="1">
        <f t="array" ref="X35">IFERROR(INDEX(バンド!$A$1:$S$17,MATCH(タイムテーブル!$G35,バンド!$B$1:$B$17,0),COLUMN(バンド!L$1))&amp;"", "")</f>
        <v>0</v>
      </c>
      <c r="Y35" t="str" cm="1">
        <f t="array" ref="Y35">IFERROR(INDEX(バンド!$A$1:$S$17,MATCH(タイムテーブル!$G35,バンド!$B$1:$B$17,0),COLUMN(バンド!M$1))&amp;"", "")</f>
        <v>0</v>
      </c>
      <c r="Z35" t="str" cm="1">
        <f t="array" ref="Z35">IFERROR(INDEX(バンド!$A$1:$S$17,MATCH(タイムテーブル!$G35,バンド!$B$1:$B$17,0),COLUMN(バンド!N$1))&amp;"", "")</f>
        <v>0</v>
      </c>
      <c r="AA35" t="str" cm="1">
        <f t="array" ref="AA35">IFERROR(INDEX(バンド!$A$1:$S$17,MATCH(タイムテーブル!$G35,バンド!$B$1:$B$17,0),COLUMN(バンド!O$1))&amp;"", "")</f>
        <v>0</v>
      </c>
      <c r="AB35" t="str" cm="1">
        <f t="array" ref="AB35">IFERROR(INDEX(バンド!$A$1:$S$17,MATCH(タイムテーブル!$G35,バンド!$B$1:$B$17,0),COLUMN(バンド!P$1))&amp;"", "")</f>
        <v>0</v>
      </c>
      <c r="AC35" t="str" cm="1">
        <f t="array" ref="AC35">IFERROR(INDEX(バンド!$A$1:$S$17,MATCH(タイムテーブル!$G35,バンド!$B$1:$B$17,0),COLUMN(バンド!Q$1))&amp;"", "")</f>
        <v>0</v>
      </c>
      <c r="AD35" t="str" cm="1">
        <f t="array" ref="AD35">IFERROR(INDEX(バンド!$A$1:$S$17,MATCH(タイムテーブル!$G35,バンド!$B$1:$B$17,0),COLUMN(バンド!R$1))&amp;"", "")</f>
        <v>0</v>
      </c>
      <c r="AE35" t="str" cm="1">
        <f t="array" ref="AE35">IFERROR(INDEX(バンド!$A$1:$S$17,MATCH(タイムテーブル!$G35,バンド!$B$1:$B$17,0),COLUMN(バンド!S$1))&amp;"", "")</f>
        <v>0</v>
      </c>
      <c r="AF35" t="str" cm="1">
        <f t="array" ref="AF35">_xlfn.IFS(X35&lt;&gt;"1", "", OR(AND(X$1&lt;$E35-$D35, $E35-$D35&lt;X$1+60), AND(X$1&lt;$E35, $E35&lt;X$1+60)), "×", TRUE, "")</f>
        <v/>
      </c>
      <c r="AG35" t="str" cm="1">
        <f t="array" ref="AG35">_xlfn.IFS(Y35&lt;&gt;"1", "", OR(AND(Y$1&lt;$E35-$D35, $E35-$D35&lt;Y$1+60), AND(Y$1&lt;$E35, $E35&lt;Y$1+60)), "×", TRUE, "")</f>
        <v/>
      </c>
      <c r="AH35" t="str" cm="1">
        <f t="array" ref="AH35">_xlfn.IFS(Z35&lt;&gt;"1", "", OR(AND(Z$1&lt;$E35-$D35, $E35-$D35&lt;Z$1+60), AND(Z$1&lt;$E35, $E35&lt;Z$1+60)), "×", TRUE, "")</f>
        <v/>
      </c>
      <c r="AI35" t="str" cm="1">
        <f t="array" ref="AI35">_xlfn.IFS(AA35&lt;&gt;"1", "", OR(AND(AA$1&lt;$E35-$D35, $E35-$D35&lt;AA$1+60), AND(AA$1&lt;$E35, $E35&lt;AA$1+60)), "×", TRUE, "")</f>
        <v/>
      </c>
      <c r="AJ35" t="str" cm="1">
        <f t="array" ref="AJ35">_xlfn.IFS(AB35&lt;&gt;"1", "", OR(AND(AB$1&lt;$E35-$D35, $E35-$D35&lt;AB$1+60), AND(AB$1&lt;$E35, $E35&lt;AB$1+60)), "×", TRUE, "")</f>
        <v/>
      </c>
      <c r="AK35" t="str" cm="1">
        <f t="array" ref="AK35">_xlfn.IFS(AC35&lt;&gt;"1", "", OR(AND(AC$1&lt;$E35-$D35, $E35-$D35&lt;AC$1+60), AND(AC$1&lt;$E35, $E35&lt;AC$1+60)), "×", TRUE, "")</f>
        <v/>
      </c>
      <c r="AL35" t="str" cm="1">
        <f t="array" ref="AL35">_xlfn.IFS(AD35&lt;&gt;"1", "", OR(AND(AD$1&lt;$E35-$D35, $E35-$D35&lt;AD$1+60), AND(AD$1&lt;$E35, $E35&lt;AD$1+60)), "×", TRUE, "")</f>
        <v/>
      </c>
      <c r="AM35" t="str" cm="1">
        <f t="array" ref="AM35">_xlfn.IFS(AE35&lt;&gt;"1", "", OR(AND(AE$1&lt;$E35-$D35, $E35-$D35&lt;AE$1+60), AND(AE$1&lt;$E35, $E35&lt;AE$1+60)), "×", TRUE, "")</f>
        <v/>
      </c>
    </row>
    <row r="36" spans="1:39">
      <c r="A36" s="5">
        <f t="shared" si="7"/>
        <v>0.64027777777777728</v>
      </c>
      <c r="B36" s="2" t="s">
        <v>33</v>
      </c>
      <c r="C36" s="6">
        <f t="shared" si="8"/>
        <v>0.64166666666666616</v>
      </c>
      <c r="D36" s="7">
        <v>2</v>
      </c>
      <c r="E36">
        <f t="shared" si="4"/>
        <v>384</v>
      </c>
      <c r="F36" t="s">
        <v>90</v>
      </c>
      <c r="H36" t="str">
        <f>IFERROR(INDEX(バンド!$A$1:$K$17,MATCH(タイムテーブル!$F36,バンド!$J$1:$J$17,0),11), "")</f>
        <v/>
      </c>
      <c r="I36" t="str">
        <f>IFERROR(INDEX(バンド!$A$1:$K$17,MATCH(タイムテーブル!$F36,バンド!$J$1:$J$17,0),11), "")</f>
        <v/>
      </c>
      <c r="J36" t="str">
        <f t="shared" si="0"/>
        <v/>
      </c>
      <c r="K36" t="str">
        <f t="shared" si="1"/>
        <v/>
      </c>
      <c r="L36" t="str" cm="1">
        <f t="array" ref="L36">IFERROR(INDEX(バンド!$A$1:$J$17,MATCH($G36,バンド!$B$1:$B$17,0),COLUMN(バンド!C$1))&amp;"", "")</f>
        <v/>
      </c>
      <c r="M36" t="str" cm="1">
        <f t="array" ref="M36">IFERROR(INDEX(バンド!$A$1:$J$17,MATCH($G36,バンド!$B$1:$B$17,0),COLUMN(バンド!D$1))&amp;"", "")</f>
        <v/>
      </c>
      <c r="N36" t="str" cm="1">
        <f t="array" ref="N36">IFERROR(INDEX(バンド!$A$1:$J$17,MATCH($G36,バンド!$B$1:$B$17,0),COLUMN(バンド!E$1))&amp;"", "")</f>
        <v/>
      </c>
      <c r="O36" t="str" cm="1">
        <f t="array" ref="O36">IFERROR(INDEX(バンド!$A$1:$J$17,MATCH($G36,バンド!$B$1:$B$17,0),COLUMN(バンド!F$1))&amp;"", "")</f>
        <v/>
      </c>
      <c r="P36" t="str" cm="1">
        <f t="array" ref="P36">IFERROR(INDEX(バンド!$A$1:$J$17,MATCH($G36,バンド!$B$1:$B$17,0),COLUMN(バンド!G$1))&amp;"", "")</f>
        <v/>
      </c>
      <c r="Q36" t="str" cm="1">
        <f t="array" ref="Q36">IFERROR(INDEX(バンド!$A$1:$J$17,MATCH($G36,バンド!$B$1:$B$17,0),COLUMN(バンド!H$1))&amp;"", "")</f>
        <v/>
      </c>
      <c r="R36" t="str" cm="1">
        <f t="array" ref="R36">_xlfn.IFS($I36="a", 0, L36="", "", TRUE, COUNTIF($L34:$Q34, L36))</f>
        <v/>
      </c>
      <c r="S36" t="str" cm="1">
        <f t="array" ref="S36">_xlfn.IFS($I36="a", 0, M36="", "", TRUE, COUNTIF($L34:$Q34, M36))</f>
        <v/>
      </c>
      <c r="T36" t="str" cm="1">
        <f t="array" ref="T36">_xlfn.IFS($I36="a", 0, N36="", "", TRUE, COUNTIF($L34:$Q34, N36))</f>
        <v/>
      </c>
      <c r="U36" t="str" cm="1">
        <f t="array" ref="U36">_xlfn.IFS($I36="a", 0, O36="", "", TRUE, COUNTIF($L34:$Q34, O36))</f>
        <v/>
      </c>
      <c r="V36" t="str" cm="1">
        <f t="array" ref="V36">_xlfn.IFS($I36="a", 0, P36="", "", TRUE, COUNTIF($L34:$Q34, P36))</f>
        <v/>
      </c>
      <c r="W36" t="str" cm="1">
        <f t="array" ref="W36">_xlfn.IFS($I36="a", 0, Q36="", "", TRUE, COUNTIF($L34:$Q34, Q36))</f>
        <v/>
      </c>
      <c r="X36" t="str" cm="1">
        <f t="array" ref="X36">IFERROR(INDEX(バンド!$A$1:$S$17,MATCH(タイムテーブル!$G36,バンド!$B$1:$B$17,0),COLUMN(バンド!L$1))&amp;"", "")</f>
        <v/>
      </c>
      <c r="Y36" t="str" cm="1">
        <f t="array" ref="Y36">IFERROR(INDEX(バンド!$A$1:$S$17,MATCH(タイムテーブル!$G36,バンド!$B$1:$B$17,0),COLUMN(バンド!M$1))&amp;"", "")</f>
        <v/>
      </c>
      <c r="Z36" t="str" cm="1">
        <f t="array" ref="Z36">IFERROR(INDEX(バンド!$A$1:$S$17,MATCH(タイムテーブル!$G36,バンド!$B$1:$B$17,0),COLUMN(バンド!N$1))&amp;"", "")</f>
        <v/>
      </c>
      <c r="AA36" t="str" cm="1">
        <f t="array" ref="AA36">IFERROR(INDEX(バンド!$A$1:$S$17,MATCH(タイムテーブル!$G36,バンド!$B$1:$B$17,0),COLUMN(バンド!O$1))&amp;"", "")</f>
        <v/>
      </c>
      <c r="AB36" t="str" cm="1">
        <f t="array" ref="AB36">IFERROR(INDEX(バンド!$A$1:$S$17,MATCH(タイムテーブル!$G36,バンド!$B$1:$B$17,0),COLUMN(バンド!P$1))&amp;"", "")</f>
        <v/>
      </c>
      <c r="AC36" t="str" cm="1">
        <f t="array" ref="AC36">IFERROR(INDEX(バンド!$A$1:$S$17,MATCH(タイムテーブル!$G36,バンド!$B$1:$B$17,0),COLUMN(バンド!Q$1))&amp;"", "")</f>
        <v/>
      </c>
      <c r="AD36" t="str" cm="1">
        <f t="array" ref="AD36">IFERROR(INDEX(バンド!$A$1:$S$17,MATCH(タイムテーブル!$G36,バンド!$B$1:$B$17,0),COLUMN(バンド!R$1))&amp;"", "")</f>
        <v/>
      </c>
      <c r="AE36" t="str" cm="1">
        <f t="array" ref="AE36">IFERROR(INDEX(バンド!$A$1:$S$17,MATCH(タイムテーブル!$G36,バンド!$B$1:$B$17,0),COLUMN(バンド!S$1))&amp;"", "")</f>
        <v/>
      </c>
      <c r="AF36" t="str" cm="1">
        <f t="array" ref="AF36">_xlfn.IFS(X36&lt;&gt;"1", "", OR(AND(X$1&lt;$E36-$D36, $E36-$D36&lt;X$1+60), AND(X$1&lt;$E36, $E36&lt;X$1+60)), "×", TRUE, "")</f>
        <v/>
      </c>
      <c r="AG36" t="str" cm="1">
        <f t="array" ref="AG36">_xlfn.IFS(Y36&lt;&gt;"1", "", OR(AND(Y$1&lt;$E36-$D36, $E36-$D36&lt;Y$1+60), AND(Y$1&lt;$E36, $E36&lt;Y$1+60)), "×", TRUE, "")</f>
        <v/>
      </c>
      <c r="AH36" t="str" cm="1">
        <f t="array" ref="AH36">_xlfn.IFS(Z36&lt;&gt;"1", "", OR(AND(Z$1&lt;$E36-$D36, $E36-$D36&lt;Z$1+60), AND(Z$1&lt;$E36, $E36&lt;Z$1+60)), "×", TRUE, "")</f>
        <v/>
      </c>
      <c r="AI36" t="str" cm="1">
        <f t="array" ref="AI36">_xlfn.IFS(AA36&lt;&gt;"1", "", OR(AND(AA$1&lt;$E36-$D36, $E36-$D36&lt;AA$1+60), AND(AA$1&lt;$E36, $E36&lt;AA$1+60)), "×", TRUE, "")</f>
        <v/>
      </c>
      <c r="AJ36" t="str" cm="1">
        <f t="array" ref="AJ36">_xlfn.IFS(AB36&lt;&gt;"1", "", OR(AND(AB$1&lt;$E36-$D36, $E36-$D36&lt;AB$1+60), AND(AB$1&lt;$E36, $E36&lt;AB$1+60)), "×", TRUE, "")</f>
        <v/>
      </c>
      <c r="AK36" t="str" cm="1">
        <f t="array" ref="AK36">_xlfn.IFS(AC36&lt;&gt;"1", "", OR(AND(AC$1&lt;$E36-$D36, $E36-$D36&lt;AC$1+60), AND(AC$1&lt;$E36, $E36&lt;AC$1+60)), "×", TRUE, "")</f>
        <v/>
      </c>
      <c r="AL36" t="str" cm="1">
        <f t="array" ref="AL36">_xlfn.IFS(AD36&lt;&gt;"1", "", OR(AND(AD$1&lt;$E36-$D36, $E36-$D36&lt;AD$1+60), AND(AD$1&lt;$E36, $E36&lt;AD$1+60)), "×", TRUE, "")</f>
        <v/>
      </c>
      <c r="AM36" t="str" cm="1">
        <f t="array" ref="AM36">_xlfn.IFS(AE36&lt;&gt;"1", "", OR(AND(AE$1&lt;$E36-$D36, $E36-$D36&lt;AE$1+60), AND(AE$1&lt;$E36, $E36&lt;AE$1+60)), "×", TRUE, "")</f>
        <v/>
      </c>
    </row>
    <row r="37" spans="1:39">
      <c r="A37" s="5">
        <f t="shared" si="7"/>
        <v>0.64166666666666616</v>
      </c>
      <c r="B37" s="2" t="s">
        <v>33</v>
      </c>
      <c r="C37" s="6">
        <f t="shared" si="8"/>
        <v>0.65347222222222168</v>
      </c>
      <c r="D37" s="7">
        <v>17</v>
      </c>
      <c r="E37">
        <f t="shared" si="4"/>
        <v>401</v>
      </c>
      <c r="F37">
        <v>16</v>
      </c>
      <c r="G37" t="s">
        <v>41</v>
      </c>
      <c r="H37">
        <f>IFERROR(INDEX(バンド!$A$1:$K$17,MATCH(タイムテーブル!$F37,バンド!$J$1:$J$17,0),11), "")</f>
        <v>0</v>
      </c>
      <c r="I37">
        <f>IFERROR(INDEX(バンド!$A$1:$K$17,MATCH(タイムテーブル!$F37,バンド!$J$1:$J$17,0),11), "")</f>
        <v>0</v>
      </c>
      <c r="J37">
        <f t="shared" si="0"/>
        <v>0</v>
      </c>
      <c r="K37">
        <f t="shared" si="1"/>
        <v>0</v>
      </c>
      <c r="L37" t="str" cm="1">
        <f t="array" ref="L37">IFERROR(INDEX(バンド!$A$1:$J$17,MATCH($G37,バンド!$B$1:$B$17,0),COLUMN(バンド!C$1))&amp;"", "")</f>
        <v>23ひなの</v>
      </c>
      <c r="M37" t="str" cm="1">
        <f t="array" ref="M37">IFERROR(INDEX(バンド!$A$1:$J$17,MATCH($G37,バンド!$B$1:$B$17,0),COLUMN(バンド!D$1))&amp;"", "")</f>
        <v>23みく</v>
      </c>
      <c r="N37" t="str" cm="1">
        <f t="array" ref="N37">IFERROR(INDEX(バンド!$A$1:$J$17,MATCH($G37,バンド!$B$1:$B$17,0),COLUMN(バンド!E$1))&amp;"", "")</f>
        <v>23あさぴん</v>
      </c>
      <c r="O37" t="str" cm="1">
        <f t="array" ref="O37">IFERROR(INDEX(バンド!$A$1:$J$17,MATCH($G37,バンド!$B$1:$B$17,0),COLUMN(バンド!F$1))&amp;"", "")</f>
        <v>23とーや</v>
      </c>
      <c r="P37" t="str" cm="1">
        <f t="array" ref="P37">IFERROR(INDEX(バンド!$A$1:$J$17,MATCH($G37,バンド!$B$1:$B$17,0),COLUMN(バンド!G$1))&amp;"", "")</f>
        <v>23ラムダ</v>
      </c>
      <c r="Q37" t="str" cm="1">
        <f t="array" ref="Q37">IFERROR(INDEX(バンド!$A$1:$J$17,MATCH($G37,バンド!$B$1:$B$17,0),COLUMN(バンド!H$1))&amp;"", "")</f>
        <v>23イッキ</v>
      </c>
      <c r="R37" cm="1">
        <f t="array" ref="R37">_xlfn.IFS($I37="a", 0, L37="", "", TRUE, COUNTIF($L35:$Q35, L37))</f>
        <v>0</v>
      </c>
      <c r="S37" cm="1">
        <f t="array" ref="S37">_xlfn.IFS($I37="a", 0, M37="", "", TRUE, COUNTIF($L35:$Q35, M37))</f>
        <v>0</v>
      </c>
      <c r="T37" cm="1">
        <f t="array" ref="T37">_xlfn.IFS($I37="a", 0, N37="", "", TRUE, COUNTIF($L35:$Q35, N37))</f>
        <v>0</v>
      </c>
      <c r="U37" cm="1">
        <f t="array" ref="U37">_xlfn.IFS($I37="a", 0, O37="", "", TRUE, COUNTIF($L35:$Q35, O37))</f>
        <v>0</v>
      </c>
      <c r="V37" cm="1">
        <f t="array" ref="V37">_xlfn.IFS($I37="a", 0, P37="", "", TRUE, COUNTIF($L35:$Q35, P37))</f>
        <v>0</v>
      </c>
      <c r="W37" cm="1">
        <f t="array" ref="W37">_xlfn.IFS($I37="a", 0, Q37="", "", TRUE, COUNTIF($L35:$Q35, Q37))</f>
        <v>0</v>
      </c>
      <c r="X37" t="str" cm="1">
        <f t="array" ref="X37">IFERROR(INDEX(バンド!$A$1:$S$17,MATCH(タイムテーブル!$G37,バンド!$B$1:$B$17,0),COLUMN(バンド!L$1))&amp;"", "")</f>
        <v>0</v>
      </c>
      <c r="Y37" t="str" cm="1">
        <f t="array" ref="Y37">IFERROR(INDEX(バンド!$A$1:$S$17,MATCH(タイムテーブル!$G37,バンド!$B$1:$B$17,0),COLUMN(バンド!M$1))&amp;"", "")</f>
        <v>0</v>
      </c>
      <c r="Z37" t="str" cm="1">
        <f t="array" ref="Z37">IFERROR(INDEX(バンド!$A$1:$S$17,MATCH(タイムテーブル!$G37,バンド!$B$1:$B$17,0),COLUMN(バンド!N$1))&amp;"", "")</f>
        <v>0</v>
      </c>
      <c r="AA37" t="str" cm="1">
        <f t="array" ref="AA37">IFERROR(INDEX(バンド!$A$1:$S$17,MATCH(タイムテーブル!$G37,バンド!$B$1:$B$17,0),COLUMN(バンド!O$1))&amp;"", "")</f>
        <v>0</v>
      </c>
      <c r="AB37" t="str" cm="1">
        <f t="array" ref="AB37">IFERROR(INDEX(バンド!$A$1:$S$17,MATCH(タイムテーブル!$G37,バンド!$B$1:$B$17,0),COLUMN(バンド!P$1))&amp;"", "")</f>
        <v>0</v>
      </c>
      <c r="AC37" t="str" cm="1">
        <f t="array" ref="AC37">IFERROR(INDEX(バンド!$A$1:$S$17,MATCH(タイムテーブル!$G37,バンド!$B$1:$B$17,0),COLUMN(バンド!Q$1))&amp;"", "")</f>
        <v>0</v>
      </c>
      <c r="AD37" t="str" cm="1">
        <f t="array" ref="AD37">IFERROR(INDEX(バンド!$A$1:$S$17,MATCH(タイムテーブル!$G37,バンド!$B$1:$B$17,0),COLUMN(バンド!R$1))&amp;"", "")</f>
        <v>0</v>
      </c>
      <c r="AE37" t="str" cm="1">
        <f t="array" ref="AE37">IFERROR(INDEX(バンド!$A$1:$S$17,MATCH(タイムテーブル!$G37,バンド!$B$1:$B$17,0),COLUMN(バンド!S$1))&amp;"", "")</f>
        <v>0</v>
      </c>
      <c r="AF37" t="str" cm="1">
        <f t="array" ref="AF37">_xlfn.IFS(X37&lt;&gt;"1", "", OR(AND(X$1&lt;$E37-$D37, $E37-$D37&lt;X$1+60), AND(X$1&lt;$E37, $E37&lt;X$1+60)), "×", TRUE, "")</f>
        <v/>
      </c>
      <c r="AG37" t="str" cm="1">
        <f t="array" ref="AG37">_xlfn.IFS(Y37&lt;&gt;"1", "", OR(AND(Y$1&lt;$E37-$D37, $E37-$D37&lt;Y$1+60), AND(Y$1&lt;$E37, $E37&lt;Y$1+60)), "×", TRUE, "")</f>
        <v/>
      </c>
      <c r="AH37" t="str" cm="1">
        <f t="array" ref="AH37">_xlfn.IFS(Z37&lt;&gt;"1", "", OR(AND(Z$1&lt;$E37-$D37, $E37-$D37&lt;Z$1+60), AND(Z$1&lt;$E37, $E37&lt;Z$1+60)), "×", TRUE, "")</f>
        <v/>
      </c>
      <c r="AI37" t="str" cm="1">
        <f t="array" ref="AI37">_xlfn.IFS(AA37&lt;&gt;"1", "", OR(AND(AA$1&lt;$E37-$D37, $E37-$D37&lt;AA$1+60), AND(AA$1&lt;$E37, $E37&lt;AA$1+60)), "×", TRUE, "")</f>
        <v/>
      </c>
      <c r="AJ37" t="str" cm="1">
        <f t="array" ref="AJ37">_xlfn.IFS(AB37&lt;&gt;"1", "", OR(AND(AB$1&lt;$E37-$D37, $E37-$D37&lt;AB$1+60), AND(AB$1&lt;$E37, $E37&lt;AB$1+60)), "×", TRUE, "")</f>
        <v/>
      </c>
      <c r="AK37" t="str" cm="1">
        <f t="array" ref="AK37">_xlfn.IFS(AC37&lt;&gt;"1", "", OR(AND(AC$1&lt;$E37-$D37, $E37-$D37&lt;AC$1+60), AND(AC$1&lt;$E37, $E37&lt;AC$1+60)), "×", TRUE, "")</f>
        <v/>
      </c>
      <c r="AL37" t="str" cm="1">
        <f t="array" ref="AL37">_xlfn.IFS(AD37&lt;&gt;"1", "", OR(AND(AD$1&lt;$E37-$D37, $E37-$D37&lt;AD$1+60), AND(AD$1&lt;$E37, $E37&lt;AD$1+60)), "×", TRUE, "")</f>
        <v/>
      </c>
      <c r="AM37" t="str" cm="1">
        <f t="array" ref="AM37">_xlfn.IFS(AE37&lt;&gt;"1", "", OR(AND(AE$1&lt;$E37-$D37, $E37-$D37&lt;AE$1+60), AND(AE$1&lt;$E37, $E37&lt;AE$1+60)), "×", TRUE, "")</f>
        <v/>
      </c>
    </row>
    <row r="38" spans="1:39">
      <c r="A38" s="5">
        <f t="shared" si="7"/>
        <v>0.65347222222222168</v>
      </c>
      <c r="B38" s="2" t="s">
        <v>33</v>
      </c>
      <c r="C38" s="6">
        <f t="shared" si="8"/>
        <v>0.66388888888888831</v>
      </c>
      <c r="D38" s="7">
        <v>15</v>
      </c>
      <c r="E38">
        <f t="shared" si="4"/>
        <v>416</v>
      </c>
      <c r="F38" t="s">
        <v>92</v>
      </c>
      <c r="H38" t="str">
        <f>IFERROR(INDEX(バンド!$A$1:$K$17,MATCH(タイムテーブル!$F38,バンド!$J$1:$J$17,0),11), "")</f>
        <v/>
      </c>
      <c r="I38" t="str">
        <f>IFERROR(INDEX(バンド!$A$1:$K$17,MATCH(タイムテーブル!$F38,バンド!$J$1:$J$17,0),11), "")</f>
        <v/>
      </c>
      <c r="J38" t="str">
        <f t="shared" si="0"/>
        <v/>
      </c>
      <c r="K38" t="str">
        <f t="shared" si="1"/>
        <v/>
      </c>
      <c r="L38" t="str" cm="1">
        <f t="array" ref="L38">IFERROR(INDEX(バンド!$A$1:$J$17,MATCH($G38,バンド!$B$1:$B$17,0),COLUMN(バンド!C$1))&amp;"", "")</f>
        <v/>
      </c>
      <c r="M38" t="str" cm="1">
        <f t="array" ref="M38">IFERROR(INDEX(バンド!$A$1:$J$17,MATCH($G38,バンド!$B$1:$B$17,0),COLUMN(バンド!D$1))&amp;"", "")</f>
        <v/>
      </c>
      <c r="N38" t="str" cm="1">
        <f t="array" ref="N38">IFERROR(INDEX(バンド!$A$1:$J$17,MATCH($G38,バンド!$B$1:$B$17,0),COLUMN(バンド!E$1))&amp;"", "")</f>
        <v/>
      </c>
      <c r="O38" t="str" cm="1">
        <f t="array" ref="O38">IFERROR(INDEX(バンド!$A$1:$J$17,MATCH($G38,バンド!$B$1:$B$17,0),COLUMN(バンド!F$1))&amp;"", "")</f>
        <v/>
      </c>
      <c r="P38" t="str" cm="1">
        <f t="array" ref="P38">IFERROR(INDEX(バンド!$A$1:$J$17,MATCH($G38,バンド!$B$1:$B$17,0),COLUMN(バンド!G$1))&amp;"", "")</f>
        <v/>
      </c>
      <c r="Q38" t="str" cm="1">
        <f t="array" ref="Q38">IFERROR(INDEX(バンド!$A$1:$J$17,MATCH($G38,バンド!$B$1:$B$17,0),COLUMN(バンド!H$1))&amp;"", "")</f>
        <v/>
      </c>
      <c r="R38" t="str" cm="1">
        <f t="array" ref="R38">_xlfn.IFS($I38="a", 0, L38="", "", TRUE, COUNTIF($L36:$Q36, L38))</f>
        <v/>
      </c>
      <c r="S38" t="str" cm="1">
        <f t="array" ref="S38">_xlfn.IFS($I38="a", 0, M38="", "", TRUE, COUNTIF($L36:$Q36, M38))</f>
        <v/>
      </c>
      <c r="T38" t="str" cm="1">
        <f t="array" ref="T38">_xlfn.IFS($I38="a", 0, N38="", "", TRUE, COUNTIF($L36:$Q36, N38))</f>
        <v/>
      </c>
      <c r="U38" t="str" cm="1">
        <f t="array" ref="U38">_xlfn.IFS($I38="a", 0, O38="", "", TRUE, COUNTIF($L36:$Q36, O38))</f>
        <v/>
      </c>
      <c r="V38" t="str" cm="1">
        <f t="array" ref="V38">_xlfn.IFS($I38="a", 0, P38="", "", TRUE, COUNTIF($L36:$Q36, P38))</f>
        <v/>
      </c>
      <c r="W38" t="str" cm="1">
        <f t="array" ref="W38">_xlfn.IFS($I38="a", 0, Q38="", "", TRUE, COUNTIF($L36:$Q36, Q38))</f>
        <v/>
      </c>
      <c r="X38" t="str" cm="1">
        <f t="array" ref="X38">IFERROR(INDEX(バンド!$A$1:$S$17,MATCH(タイムテーブル!$G38,バンド!$B$1:$B$17,0),COLUMN(バンド!L$1))&amp;"", "")</f>
        <v/>
      </c>
      <c r="Y38" t="str" cm="1">
        <f t="array" ref="Y38">IFERROR(INDEX(バンド!$A$1:$S$17,MATCH(タイムテーブル!$G38,バンド!$B$1:$B$17,0),COLUMN(バンド!M$1))&amp;"", "")</f>
        <v/>
      </c>
      <c r="Z38" t="str" cm="1">
        <f t="array" ref="Z38">IFERROR(INDEX(バンド!$A$1:$S$17,MATCH(タイムテーブル!$G38,バンド!$B$1:$B$17,0),COLUMN(バンド!N$1))&amp;"", "")</f>
        <v/>
      </c>
      <c r="AA38" t="str" cm="1">
        <f t="array" ref="AA38">IFERROR(INDEX(バンド!$A$1:$S$17,MATCH(タイムテーブル!$G38,バンド!$B$1:$B$17,0),COLUMN(バンド!O$1))&amp;"", "")</f>
        <v/>
      </c>
      <c r="AB38" t="str" cm="1">
        <f t="array" ref="AB38">IFERROR(INDEX(バンド!$A$1:$S$17,MATCH(タイムテーブル!$G38,バンド!$B$1:$B$17,0),COLUMN(バンド!P$1))&amp;"", "")</f>
        <v/>
      </c>
      <c r="AC38" t="str" cm="1">
        <f t="array" ref="AC38">IFERROR(INDEX(バンド!$A$1:$S$17,MATCH(タイムテーブル!$G38,バンド!$B$1:$B$17,0),COLUMN(バンド!Q$1))&amp;"", "")</f>
        <v/>
      </c>
      <c r="AD38" t="str" cm="1">
        <f t="array" ref="AD38">IFERROR(INDEX(バンド!$A$1:$S$17,MATCH(タイムテーブル!$G38,バンド!$B$1:$B$17,0),COLUMN(バンド!R$1))&amp;"", "")</f>
        <v/>
      </c>
      <c r="AE38" t="str" cm="1">
        <f t="array" ref="AE38">IFERROR(INDEX(バンド!$A$1:$S$17,MATCH(タイムテーブル!$G38,バンド!$B$1:$B$17,0),COLUMN(バンド!S$1))&amp;"", "")</f>
        <v/>
      </c>
      <c r="AF38" t="str" cm="1">
        <f t="array" ref="AF38">_xlfn.IFS(X38&lt;&gt;"1", "", OR(AND(X$1&lt;$E38-$D38, $E38-$D38&lt;X$1+60), AND(X$1&lt;$E38, $E38&lt;X$1+60)), "×", TRUE, "")</f>
        <v/>
      </c>
      <c r="AG38" t="str" cm="1">
        <f t="array" ref="AG38">_xlfn.IFS(Y38&lt;&gt;"1", "", OR(AND(Y$1&lt;$E38-$D38, $E38-$D38&lt;Y$1+60), AND(Y$1&lt;$E38, $E38&lt;Y$1+60)), "×", TRUE, "")</f>
        <v/>
      </c>
      <c r="AH38" t="str" cm="1">
        <f t="array" ref="AH38">_xlfn.IFS(Z38&lt;&gt;"1", "", OR(AND(Z$1&lt;$E38-$D38, $E38-$D38&lt;Z$1+60), AND(Z$1&lt;$E38, $E38&lt;Z$1+60)), "×", TRUE, "")</f>
        <v/>
      </c>
      <c r="AI38" t="str" cm="1">
        <f t="array" ref="AI38">_xlfn.IFS(AA38&lt;&gt;"1", "", OR(AND(AA$1&lt;$E38-$D38, $E38-$D38&lt;AA$1+60), AND(AA$1&lt;$E38, $E38&lt;AA$1+60)), "×", TRUE, "")</f>
        <v/>
      </c>
      <c r="AJ38" t="str" cm="1">
        <f t="array" ref="AJ38">_xlfn.IFS(AB38&lt;&gt;"1", "", OR(AND(AB$1&lt;$E38-$D38, $E38-$D38&lt;AB$1+60), AND(AB$1&lt;$E38, $E38&lt;AB$1+60)), "×", TRUE, "")</f>
        <v/>
      </c>
      <c r="AK38" t="str" cm="1">
        <f t="array" ref="AK38">_xlfn.IFS(AC38&lt;&gt;"1", "", OR(AND(AC$1&lt;$E38-$D38, $E38-$D38&lt;AC$1+60), AND(AC$1&lt;$E38, $E38&lt;AC$1+60)), "×", TRUE, "")</f>
        <v/>
      </c>
      <c r="AL38" t="str" cm="1">
        <f t="array" ref="AL38">_xlfn.IFS(AD38&lt;&gt;"1", "", OR(AND(AD$1&lt;$E38-$D38, $E38-$D38&lt;AD$1+60), AND(AD$1&lt;$E38, $E38&lt;AD$1+60)), "×", TRUE, "")</f>
        <v/>
      </c>
      <c r="AM38" t="str" cm="1">
        <f t="array" ref="AM38">_xlfn.IFS(AE38&lt;&gt;"1", "", OR(AND(AE$1&lt;$E38-$D38, $E38-$D38&lt;AE$1+60), AND(AE$1&lt;$E38, $E38&lt;AE$1+60)), "×", TRUE, "")</f>
        <v/>
      </c>
    </row>
    <row r="39" spans="1:39">
      <c r="A39" s="5">
        <f t="shared" si="7"/>
        <v>0.66388888888888831</v>
      </c>
      <c r="B39" s="2" t="s">
        <v>33</v>
      </c>
      <c r="C39" s="6">
        <f t="shared" si="8"/>
        <v>0.67083333333333273</v>
      </c>
      <c r="D39" s="7">
        <v>10</v>
      </c>
      <c r="E39">
        <f t="shared" si="4"/>
        <v>426</v>
      </c>
      <c r="F39" t="s">
        <v>93</v>
      </c>
      <c r="H39" t="str">
        <f>IFERROR(INDEX(バンド!$A$1:$K$17,MATCH(タイムテーブル!$F39,バンド!$J$1:$J$17,0),11), "")</f>
        <v/>
      </c>
      <c r="I39" t="str">
        <f>IFERROR(INDEX(バンド!$A$1:$K$17,MATCH(タイムテーブル!$F39,バンド!$J$1:$J$17,0),11), "")</f>
        <v/>
      </c>
      <c r="J39" t="str">
        <f t="shared" si="0"/>
        <v/>
      </c>
      <c r="K39" t="str">
        <f t="shared" si="1"/>
        <v/>
      </c>
      <c r="L39" t="str" cm="1">
        <f t="array" ref="L39">IFERROR(INDEX(バンド!$A$1:$J$17,MATCH($G39,バンド!$B$1:$B$17,0),COLUMN(バンド!C$1))&amp;"", "")</f>
        <v/>
      </c>
      <c r="M39" t="str" cm="1">
        <f t="array" ref="M39">IFERROR(INDEX(バンド!$A$1:$J$17,MATCH($G39,バンド!$B$1:$B$17,0),COLUMN(バンド!D$1))&amp;"", "")</f>
        <v/>
      </c>
      <c r="N39" t="str" cm="1">
        <f t="array" ref="N39">IFERROR(INDEX(バンド!$A$1:$J$17,MATCH($G39,バンド!$B$1:$B$17,0),COLUMN(バンド!E$1))&amp;"", "")</f>
        <v/>
      </c>
      <c r="O39" t="str" cm="1">
        <f t="array" ref="O39">IFERROR(INDEX(バンド!$A$1:$J$17,MATCH($G39,バンド!$B$1:$B$17,0),COLUMN(バンド!F$1))&amp;"", "")</f>
        <v/>
      </c>
      <c r="P39" t="str" cm="1">
        <f t="array" ref="P39">IFERROR(INDEX(バンド!$A$1:$J$17,MATCH($G39,バンド!$B$1:$B$17,0),COLUMN(バンド!G$1))&amp;"", "")</f>
        <v/>
      </c>
      <c r="Q39" t="str" cm="1">
        <f t="array" ref="Q39">IFERROR(INDEX(バンド!$A$1:$J$17,MATCH($G39,バンド!$B$1:$B$17,0),COLUMN(バンド!H$1))&amp;"", "")</f>
        <v/>
      </c>
      <c r="R39" t="str" cm="1">
        <f t="array" ref="R39">_xlfn.IFS($I39="a", 0, L39="", "", TRUE, COUNTIF($L37:$Q37, L39))</f>
        <v/>
      </c>
      <c r="S39" t="str" cm="1">
        <f t="array" ref="S39">_xlfn.IFS($I39="a", 0, M39="", "", TRUE, COUNTIF($L37:$Q37, M39))</f>
        <v/>
      </c>
      <c r="T39" t="str" cm="1">
        <f t="array" ref="T39">_xlfn.IFS($I39="a", 0, N39="", "", TRUE, COUNTIF($L37:$Q37, N39))</f>
        <v/>
      </c>
      <c r="U39" t="str" cm="1">
        <f t="array" ref="U39">_xlfn.IFS($I39="a", 0, O39="", "", TRUE, COUNTIF($L37:$Q37, O39))</f>
        <v/>
      </c>
      <c r="V39" t="str" cm="1">
        <f t="array" ref="V39">_xlfn.IFS($I39="a", 0, P39="", "", TRUE, COUNTIF($L37:$Q37, P39))</f>
        <v/>
      </c>
      <c r="W39" t="str" cm="1">
        <f t="array" ref="W39">_xlfn.IFS($I39="a", 0, Q39="", "", TRUE, COUNTIF($L37:$Q37, Q39))</f>
        <v/>
      </c>
      <c r="X39" t="str" cm="1">
        <f t="array" ref="X39">IFERROR(INDEX(バンド!$A$1:$S$17,MATCH(タイムテーブル!$G39,バンド!$B$1:$B$17,0),COLUMN(バンド!L$1))&amp;"", "")</f>
        <v/>
      </c>
      <c r="Y39" t="str" cm="1">
        <f t="array" ref="Y39">IFERROR(INDEX(バンド!$A$1:$S$17,MATCH(タイムテーブル!$G39,バンド!$B$1:$B$17,0),COLUMN(バンド!M$1))&amp;"", "")</f>
        <v/>
      </c>
      <c r="Z39" t="str" cm="1">
        <f t="array" ref="Z39">IFERROR(INDEX(バンド!$A$1:$S$17,MATCH(タイムテーブル!$G39,バンド!$B$1:$B$17,0),COLUMN(バンド!N$1))&amp;"", "")</f>
        <v/>
      </c>
      <c r="AA39" t="str" cm="1">
        <f t="array" ref="AA39">IFERROR(INDEX(バンド!$A$1:$S$17,MATCH(タイムテーブル!$G39,バンド!$B$1:$B$17,0),COLUMN(バンド!O$1))&amp;"", "")</f>
        <v/>
      </c>
      <c r="AB39" t="str" cm="1">
        <f t="array" ref="AB39">IFERROR(INDEX(バンド!$A$1:$S$17,MATCH(タイムテーブル!$G39,バンド!$B$1:$B$17,0),COLUMN(バンド!P$1))&amp;"", "")</f>
        <v/>
      </c>
      <c r="AC39" t="str" cm="1">
        <f t="array" ref="AC39">IFERROR(INDEX(バンド!$A$1:$S$17,MATCH(タイムテーブル!$G39,バンド!$B$1:$B$17,0),COLUMN(バンド!Q$1))&amp;"", "")</f>
        <v/>
      </c>
      <c r="AD39" t="str" cm="1">
        <f t="array" ref="AD39">IFERROR(INDEX(バンド!$A$1:$S$17,MATCH(タイムテーブル!$G39,バンド!$B$1:$B$17,0),COLUMN(バンド!R$1))&amp;"", "")</f>
        <v/>
      </c>
      <c r="AE39" t="str" cm="1">
        <f t="array" ref="AE39">IFERROR(INDEX(バンド!$A$1:$S$17,MATCH(タイムテーブル!$G39,バンド!$B$1:$B$17,0),COLUMN(バンド!S$1))&amp;"", "")</f>
        <v/>
      </c>
      <c r="AF39" t="str" cm="1">
        <f t="array" ref="AF39">_xlfn.IFS(X39&lt;&gt;"1", "", OR(AND(X$1&lt;$E39-$D39, $E39-$D39&lt;X$1+60), AND(X$1&lt;$E39, $E39&lt;X$1+60)), "×", TRUE, "")</f>
        <v/>
      </c>
      <c r="AG39" t="str" cm="1">
        <f t="array" ref="AG39">_xlfn.IFS(Y39&lt;&gt;"1", "", OR(AND(Y$1&lt;$E39-$D39, $E39-$D39&lt;Y$1+60), AND(Y$1&lt;$E39, $E39&lt;Y$1+60)), "×", TRUE, "")</f>
        <v/>
      </c>
      <c r="AH39" t="str" cm="1">
        <f t="array" ref="AH39">_xlfn.IFS(Z39&lt;&gt;"1", "", OR(AND(Z$1&lt;$E39-$D39, $E39-$D39&lt;Z$1+60), AND(Z$1&lt;$E39, $E39&lt;Z$1+60)), "×", TRUE, "")</f>
        <v/>
      </c>
      <c r="AI39" t="str" cm="1">
        <f t="array" ref="AI39">_xlfn.IFS(AA39&lt;&gt;"1", "", OR(AND(AA$1&lt;$E39-$D39, $E39-$D39&lt;AA$1+60), AND(AA$1&lt;$E39, $E39&lt;AA$1+60)), "×", TRUE, "")</f>
        <v/>
      </c>
      <c r="AJ39" t="str" cm="1">
        <f t="array" ref="AJ39">_xlfn.IFS(AB39&lt;&gt;"1", "", OR(AND(AB$1&lt;$E39-$D39, $E39-$D39&lt;AB$1+60), AND(AB$1&lt;$E39, $E39&lt;AB$1+60)), "×", TRUE, "")</f>
        <v/>
      </c>
      <c r="AK39" t="str" cm="1">
        <f t="array" ref="AK39">_xlfn.IFS(AC39&lt;&gt;"1", "", OR(AND(AC$1&lt;$E39-$D39, $E39-$D39&lt;AC$1+60), AND(AC$1&lt;$E39, $E39&lt;AC$1+60)), "×", TRUE, "")</f>
        <v/>
      </c>
      <c r="AL39" t="str" cm="1">
        <f t="array" ref="AL39">_xlfn.IFS(AD39&lt;&gt;"1", "", OR(AND(AD$1&lt;$E39-$D39, $E39-$D39&lt;AD$1+60), AND(AD$1&lt;$E39, $E39&lt;AD$1+60)), "×", TRUE, "")</f>
        <v/>
      </c>
      <c r="AM39" t="str" cm="1">
        <f t="array" ref="AM39">_xlfn.IFS(AE39&lt;&gt;"1", "", OR(AND(AE$1&lt;$E39-$D39, $E39-$D39&lt;AE$1+60), AND(AE$1&lt;$E39, $E39&lt;AE$1+60)), "×", TRUE, "")</f>
        <v/>
      </c>
    </row>
    <row r="40" spans="1:39">
      <c r="A40" s="5">
        <f t="shared" si="7"/>
        <v>0.67083333333333273</v>
      </c>
      <c r="B40" s="2" t="s">
        <v>33</v>
      </c>
      <c r="C40" s="6">
        <f t="shared" si="8"/>
        <v>0.70208333333333273</v>
      </c>
      <c r="D40" s="7">
        <v>45</v>
      </c>
      <c r="E40">
        <f t="shared" si="4"/>
        <v>471</v>
      </c>
      <c r="F40" t="s">
        <v>94</v>
      </c>
      <c r="H40" t="str">
        <f>IFERROR(INDEX(バンド!$A$1:$K$17,MATCH(タイムテーブル!$F40,バンド!$J$1:$J$17,0),11), "")</f>
        <v/>
      </c>
      <c r="I40" t="str">
        <f>IFERROR(INDEX(バンド!$A$1:$K$17,MATCH(タイムテーブル!$F40,バンド!$J$1:$J$17,0),11), "")</f>
        <v/>
      </c>
      <c r="J40" t="str">
        <f t="shared" si="0"/>
        <v/>
      </c>
      <c r="K40" t="str">
        <f t="shared" si="1"/>
        <v/>
      </c>
      <c r="L40" t="str" cm="1">
        <f t="array" ref="L40">IFERROR(INDEX(バンド!$A$1:$J$17,MATCH($G40,バンド!$B$1:$B$17,0),COLUMN(バンド!C$1))&amp;"", "")</f>
        <v/>
      </c>
      <c r="M40" t="str" cm="1">
        <f t="array" ref="M40">IFERROR(INDEX(バンド!$A$1:$J$17,MATCH($G40,バンド!$B$1:$B$17,0),COLUMN(バンド!D$1))&amp;"", "")</f>
        <v/>
      </c>
      <c r="N40" t="str" cm="1">
        <f t="array" ref="N40">IFERROR(INDEX(バンド!$A$1:$J$17,MATCH($G40,バンド!$B$1:$B$17,0),COLUMN(バンド!E$1))&amp;"", "")</f>
        <v/>
      </c>
      <c r="O40" t="str" cm="1">
        <f t="array" ref="O40">IFERROR(INDEX(バンド!$A$1:$J$17,MATCH($G40,バンド!$B$1:$B$17,0),COLUMN(バンド!F$1))&amp;"", "")</f>
        <v/>
      </c>
      <c r="P40" t="str" cm="1">
        <f t="array" ref="P40">IFERROR(INDEX(バンド!$A$1:$J$17,MATCH($G40,バンド!$B$1:$B$17,0),COLUMN(バンド!G$1))&amp;"", "")</f>
        <v/>
      </c>
      <c r="Q40" t="str" cm="1">
        <f t="array" ref="Q40">IFERROR(INDEX(バンド!$A$1:$J$17,MATCH($G40,バンド!$B$1:$B$17,0),COLUMN(バンド!H$1))&amp;"", "")</f>
        <v/>
      </c>
      <c r="R40" t="str" cm="1">
        <f t="array" ref="R40">_xlfn.IFS($I40="a", 0, L40="", "", TRUE, COUNTIF($L38:$Q38, L40))</f>
        <v/>
      </c>
      <c r="S40" t="str" cm="1">
        <f t="array" ref="S40">_xlfn.IFS($I40="a", 0, M40="", "", TRUE, COUNTIF($L38:$Q38, M40))</f>
        <v/>
      </c>
      <c r="T40" t="str" cm="1">
        <f t="array" ref="T40">_xlfn.IFS($I40="a", 0, N40="", "", TRUE, COUNTIF($L38:$Q38, N40))</f>
        <v/>
      </c>
      <c r="U40" t="str" cm="1">
        <f t="array" ref="U40">_xlfn.IFS($I40="a", 0, O40="", "", TRUE, COUNTIF($L38:$Q38, O40))</f>
        <v/>
      </c>
      <c r="V40" t="str" cm="1">
        <f t="array" ref="V40">_xlfn.IFS($I40="a", 0, P40="", "", TRUE, COUNTIF($L38:$Q38, P40))</f>
        <v/>
      </c>
      <c r="W40" t="str" cm="1">
        <f t="array" ref="W40">_xlfn.IFS($I40="a", 0, Q40="", "", TRUE, COUNTIF($L38:$Q38, Q40))</f>
        <v/>
      </c>
      <c r="X40" t="str" cm="1">
        <f t="array" ref="X40">IFERROR(INDEX(バンド!$A$1:$S$17,MATCH(タイムテーブル!$G40,バンド!$B$1:$B$17,0),COLUMN(バンド!L$1))&amp;"", "")</f>
        <v/>
      </c>
      <c r="Y40" t="str" cm="1">
        <f t="array" ref="Y40">IFERROR(INDEX(バンド!$A$1:$S$17,MATCH(タイムテーブル!$G40,バンド!$B$1:$B$17,0),COLUMN(バンド!M$1))&amp;"", "")</f>
        <v/>
      </c>
      <c r="Z40" t="str" cm="1">
        <f t="array" ref="Z40">IFERROR(INDEX(バンド!$A$1:$S$17,MATCH(タイムテーブル!$G40,バンド!$B$1:$B$17,0),COLUMN(バンド!N$1))&amp;"", "")</f>
        <v/>
      </c>
      <c r="AA40" t="str" cm="1">
        <f t="array" ref="AA40">IFERROR(INDEX(バンド!$A$1:$S$17,MATCH(タイムテーブル!$G40,バンド!$B$1:$B$17,0),COLUMN(バンド!O$1))&amp;"", "")</f>
        <v/>
      </c>
      <c r="AB40" t="str" cm="1">
        <f t="array" ref="AB40">IFERROR(INDEX(バンド!$A$1:$S$17,MATCH(タイムテーブル!$G40,バンド!$B$1:$B$17,0),COLUMN(バンド!P$1))&amp;"", "")</f>
        <v/>
      </c>
      <c r="AC40" t="str" cm="1">
        <f t="array" ref="AC40">IFERROR(INDEX(バンド!$A$1:$S$17,MATCH(タイムテーブル!$G40,バンド!$B$1:$B$17,0),COLUMN(バンド!Q$1))&amp;"", "")</f>
        <v/>
      </c>
      <c r="AD40" t="str" cm="1">
        <f t="array" ref="AD40">IFERROR(INDEX(バンド!$A$1:$S$17,MATCH(タイムテーブル!$G40,バンド!$B$1:$B$17,0),COLUMN(バンド!R$1))&amp;"", "")</f>
        <v/>
      </c>
      <c r="AE40" t="str" cm="1">
        <f t="array" ref="AE40">IFERROR(INDEX(バンド!$A$1:$S$17,MATCH(タイムテーブル!$G40,バンド!$B$1:$B$17,0),COLUMN(バンド!S$1))&amp;"", "")</f>
        <v/>
      </c>
      <c r="AF40" t="str" cm="1">
        <f t="array" ref="AF40">_xlfn.IFS(X40&lt;&gt;"1", "", OR(AND(X$1&lt;$E40-$D40, $E40-$D40&lt;X$1+60), AND(X$1&lt;$E40, $E40&lt;X$1+60)), "×", TRUE, "")</f>
        <v/>
      </c>
      <c r="AG40" t="str" cm="1">
        <f t="array" ref="AG40">_xlfn.IFS(Y40&lt;&gt;"1", "", OR(AND(Y$1&lt;$E40-$D40, $E40-$D40&lt;Y$1+60), AND(Y$1&lt;$E40, $E40&lt;Y$1+60)), "×", TRUE, "")</f>
        <v/>
      </c>
      <c r="AH40" t="str" cm="1">
        <f t="array" ref="AH40">_xlfn.IFS(Z40&lt;&gt;"1", "", OR(AND(Z$1&lt;$E40-$D40, $E40-$D40&lt;Z$1+60), AND(Z$1&lt;$E40, $E40&lt;Z$1+60)), "×", TRUE, "")</f>
        <v/>
      </c>
      <c r="AI40" t="str" cm="1">
        <f t="array" ref="AI40">_xlfn.IFS(AA40&lt;&gt;"1", "", OR(AND(AA$1&lt;$E40-$D40, $E40-$D40&lt;AA$1+60), AND(AA$1&lt;$E40, $E40&lt;AA$1+60)), "×", TRUE, "")</f>
        <v/>
      </c>
      <c r="AJ40" t="str" cm="1">
        <f t="array" ref="AJ40">_xlfn.IFS(AB40&lt;&gt;"1", "", OR(AND(AB$1&lt;$E40-$D40, $E40-$D40&lt;AB$1+60), AND(AB$1&lt;$E40, $E40&lt;AB$1+60)), "×", TRUE, "")</f>
        <v/>
      </c>
      <c r="AK40" t="str" cm="1">
        <f t="array" ref="AK40">_xlfn.IFS(AC40&lt;&gt;"1", "", OR(AND(AC$1&lt;$E40-$D40, $E40-$D40&lt;AC$1+60), AND(AC$1&lt;$E40, $E40&lt;AC$1+60)), "×", TRUE, "")</f>
        <v/>
      </c>
      <c r="AL40" t="str" cm="1">
        <f t="array" ref="AL40">_xlfn.IFS(AD40&lt;&gt;"1", "", OR(AND(AD$1&lt;$E40-$D40, $E40-$D40&lt;AD$1+60), AND(AD$1&lt;$E40, $E40&lt;AD$1+60)), "×", TRUE, "")</f>
        <v/>
      </c>
      <c r="AM40" t="str" cm="1">
        <f t="array" ref="AM40">_xlfn.IFS(AE40&lt;&gt;"1", "", OR(AND(AE$1&lt;$E40-$D40, $E40-$D40&lt;AE$1+60), AND(AE$1&lt;$E40, $E40&lt;AE$1+60)), "×", TRUE, "")</f>
        <v/>
      </c>
    </row>
    <row r="41" spans="1:39">
      <c r="J41">
        <f>SUM(J2:J40)</f>
        <v>0</v>
      </c>
      <c r="K41">
        <f>SUM(K2:K40)</f>
        <v>0</v>
      </c>
      <c r="L41">
        <f>SUM(J41:K41)</f>
        <v>0</v>
      </c>
      <c r="N41">
        <v>0</v>
      </c>
    </row>
    <row r="42" spans="1:39" ht="15" customHeight="1">
      <c r="J42" s="15" t="str">
        <f>IF(COUNTIF(I4:I16, "○")=12, "○", "×")</f>
        <v>×</v>
      </c>
      <c r="K42" t="s">
        <v>95</v>
      </c>
      <c r="L42">
        <v>370336</v>
      </c>
      <c r="N42">
        <v>1</v>
      </c>
      <c r="O42">
        <v>2</v>
      </c>
    </row>
    <row r="43" spans="1:39" ht="15" customHeight="1">
      <c r="J43" s="15"/>
      <c r="K43" s="12"/>
      <c r="N43">
        <v>2</v>
      </c>
      <c r="O43">
        <v>14</v>
      </c>
    </row>
    <row r="44" spans="1:39" ht="15" customHeight="1">
      <c r="J44" s="12"/>
      <c r="L44">
        <v>7</v>
      </c>
      <c r="N44">
        <v>3</v>
      </c>
      <c r="O44">
        <v>79</v>
      </c>
      <c r="P44">
        <v>1</v>
      </c>
    </row>
    <row r="45" spans="1:39">
      <c r="L45" s="11">
        <v>6.94444444444553E-5</v>
      </c>
      <c r="M45" s="14" t="s">
        <v>103</v>
      </c>
      <c r="N45">
        <v>4</v>
      </c>
      <c r="O45">
        <v>374</v>
      </c>
      <c r="P45">
        <v>4</v>
      </c>
    </row>
    <row r="46" spans="1:39">
      <c r="N46">
        <v>5</v>
      </c>
      <c r="O46">
        <v>1246</v>
      </c>
      <c r="P46">
        <v>27</v>
      </c>
    </row>
    <row r="47" spans="1:39">
      <c r="N47">
        <v>6</v>
      </c>
      <c r="O47">
        <v>3296</v>
      </c>
      <c r="P47">
        <v>68</v>
      </c>
    </row>
    <row r="48" spans="1:39">
      <c r="N48">
        <v>7</v>
      </c>
      <c r="O48">
        <v>7300</v>
      </c>
      <c r="P48">
        <v>149</v>
      </c>
    </row>
    <row r="49" spans="14:16">
      <c r="N49">
        <v>8</v>
      </c>
      <c r="O49">
        <v>13831</v>
      </c>
      <c r="P49">
        <v>271</v>
      </c>
    </row>
    <row r="50" spans="14:16">
      <c r="N50">
        <v>9</v>
      </c>
      <c r="O50">
        <v>22464</v>
      </c>
      <c r="P50">
        <v>428</v>
      </c>
    </row>
    <row r="51" spans="14:16">
      <c r="N51">
        <v>10</v>
      </c>
      <c r="O51">
        <v>32137</v>
      </c>
      <c r="P51">
        <v>581</v>
      </c>
    </row>
    <row r="52" spans="14:16">
      <c r="N52">
        <v>11</v>
      </c>
      <c r="O52">
        <v>39782</v>
      </c>
      <c r="P52">
        <v>666</v>
      </c>
    </row>
    <row r="53" spans="14:16">
      <c r="N53">
        <v>12</v>
      </c>
      <c r="O53">
        <v>43621</v>
      </c>
      <c r="P53">
        <v>684</v>
      </c>
    </row>
    <row r="54" spans="14:16">
      <c r="N54">
        <v>13</v>
      </c>
      <c r="O54">
        <v>42488</v>
      </c>
      <c r="P54">
        <v>609</v>
      </c>
    </row>
    <row r="55" spans="14:16">
      <c r="N55">
        <v>14</v>
      </c>
      <c r="O55">
        <v>37523</v>
      </c>
      <c r="P55">
        <v>502</v>
      </c>
    </row>
    <row r="56" spans="14:16">
      <c r="N56">
        <v>15</v>
      </c>
      <c r="O56">
        <v>29007</v>
      </c>
      <c r="P56">
        <v>414</v>
      </c>
    </row>
    <row r="57" spans="14:16">
      <c r="N57">
        <v>16</v>
      </c>
      <c r="O57">
        <v>20321</v>
      </c>
      <c r="P57">
        <v>266</v>
      </c>
    </row>
    <row r="58" spans="14:16">
      <c r="N58">
        <v>17</v>
      </c>
      <c r="O58">
        <v>13154</v>
      </c>
      <c r="P58">
        <v>168</v>
      </c>
    </row>
    <row r="59" spans="14:16">
      <c r="N59">
        <v>18</v>
      </c>
      <c r="O59">
        <v>7493</v>
      </c>
      <c r="P59">
        <v>69</v>
      </c>
    </row>
    <row r="60" spans="14:16">
      <c r="N60">
        <v>19</v>
      </c>
      <c r="O60">
        <v>3999</v>
      </c>
      <c r="P60">
        <v>47</v>
      </c>
    </row>
    <row r="61" spans="14:16">
      <c r="N61">
        <v>20</v>
      </c>
      <c r="O61">
        <v>1825</v>
      </c>
      <c r="P61">
        <v>26</v>
      </c>
    </row>
    <row r="62" spans="14:16">
      <c r="N62">
        <v>21</v>
      </c>
      <c r="O62">
        <v>796</v>
      </c>
      <c r="P62">
        <v>15</v>
      </c>
    </row>
    <row r="63" spans="14:16">
      <c r="N63">
        <v>22</v>
      </c>
      <c r="O63">
        <v>275</v>
      </c>
      <c r="P63">
        <v>3</v>
      </c>
    </row>
    <row r="64" spans="14:16">
      <c r="N64">
        <v>23</v>
      </c>
      <c r="O64">
        <v>104</v>
      </c>
      <c r="P64">
        <v>2</v>
      </c>
    </row>
    <row r="65" spans="14:15">
      <c r="N65">
        <v>24</v>
      </c>
      <c r="O65">
        <v>29</v>
      </c>
    </row>
    <row r="66" spans="14:15">
      <c r="N66">
        <v>25</v>
      </c>
      <c r="O66">
        <v>8</v>
      </c>
    </row>
    <row r="67" spans="14:15">
      <c r="N67">
        <v>26</v>
      </c>
      <c r="O67">
        <v>3</v>
      </c>
    </row>
    <row r="68" spans="14:15">
      <c r="N68">
        <v>27</v>
      </c>
    </row>
    <row r="69" spans="14:15">
      <c r="N69">
        <v>28</v>
      </c>
    </row>
    <row r="70" spans="14:15">
      <c r="N70">
        <v>29</v>
      </c>
    </row>
    <row r="71" spans="14:15">
      <c r="N71">
        <v>30</v>
      </c>
    </row>
  </sheetData>
  <mergeCells count="1">
    <mergeCell ref="J42:J43"/>
  </mergeCells>
  <phoneticPr fontId="1"/>
  <conditionalFormatting sqref="L2:Q40">
    <cfRule type="expression" dxfId="1" priority="2" stopIfTrue="1">
      <formula>R2=1</formula>
    </cfRule>
  </conditionalFormatting>
  <conditionalFormatting sqref="J2:K40">
    <cfRule type="expression" dxfId="0" priority="1">
      <formula>AND(COUNTBLANK(J2)&lt;&gt;1, J2&gt;=1)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m">
                <anchor moveWithCells="1" sizeWithCells="1">
                  <from>
                    <xdr:col>2</xdr:col>
                    <xdr:colOff>355600</xdr:colOff>
                    <xdr:row>41</xdr:row>
                    <xdr:rowOff>101600</xdr:rowOff>
                  </from>
                  <to>
                    <xdr:col>4</xdr:col>
                    <xdr:colOff>520700</xdr:colOff>
                    <xdr:row>43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ry">
                <anchor moveWithCells="1" sizeWithCells="1">
                  <from>
                    <xdr:col>5</xdr:col>
                    <xdr:colOff>266700</xdr:colOff>
                    <xdr:row>41</xdr:row>
                    <xdr:rowOff>139700</xdr:rowOff>
                  </from>
                  <to>
                    <xdr:col>6</xdr:col>
                    <xdr:colOff>889000</xdr:colOff>
                    <xdr:row>43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6FF43-6325-E242-AB51-BC00DC998AE6}">
  <sheetPr codeName="Sheet3"/>
  <dimension ref="C2:BT33"/>
  <sheetViews>
    <sheetView workbookViewId="0"/>
  </sheetViews>
  <sheetFormatPr baseColWidth="10" defaultRowHeight="15"/>
  <sheetData>
    <row r="2" spans="3:72">
      <c r="C2" s="13"/>
      <c r="BT2" t="s">
        <v>54</v>
      </c>
    </row>
    <row r="3" spans="3:72">
      <c r="C3" s="13"/>
      <c r="BT3" t="s">
        <v>34</v>
      </c>
    </row>
    <row r="4" spans="3:72">
      <c r="C4" s="13"/>
      <c r="BT4" t="s">
        <v>57</v>
      </c>
    </row>
    <row r="5" spans="3:72">
      <c r="C5" s="13"/>
      <c r="BT5" t="s">
        <v>34</v>
      </c>
    </row>
    <row r="6" spans="3:72">
      <c r="C6" s="13"/>
      <c r="BT6" t="s">
        <v>2</v>
      </c>
    </row>
    <row r="7" spans="3:72">
      <c r="C7" s="13"/>
      <c r="BT7" t="s">
        <v>34</v>
      </c>
    </row>
    <row r="8" spans="3:72">
      <c r="C8" s="13"/>
      <c r="BT8" t="s">
        <v>81</v>
      </c>
    </row>
    <row r="9" spans="3:72">
      <c r="C9" s="13"/>
      <c r="BT9" t="s">
        <v>34</v>
      </c>
    </row>
    <row r="10" spans="3:72">
      <c r="C10" s="13"/>
      <c r="BT10" t="s">
        <v>1</v>
      </c>
    </row>
    <row r="11" spans="3:72">
      <c r="C11" s="13"/>
      <c r="BT11" t="s">
        <v>34</v>
      </c>
    </row>
    <row r="12" spans="3:72">
      <c r="C12" s="13"/>
      <c r="BT12" t="s">
        <v>80</v>
      </c>
    </row>
    <row r="13" spans="3:72">
      <c r="C13" s="13"/>
      <c r="BT13" t="s">
        <v>34</v>
      </c>
    </row>
    <row r="14" spans="3:72">
      <c r="C14" s="13"/>
      <c r="BT14" t="s">
        <v>53</v>
      </c>
    </row>
    <row r="15" spans="3:72">
      <c r="C15" s="13"/>
      <c r="BT15" t="s">
        <v>34</v>
      </c>
    </row>
    <row r="16" spans="3:72">
      <c r="C16" s="13"/>
      <c r="BT16" t="s">
        <v>42</v>
      </c>
    </row>
    <row r="17" spans="3:72">
      <c r="C17" s="13"/>
      <c r="BT17" t="s">
        <v>34</v>
      </c>
    </row>
    <row r="18" spans="3:72">
      <c r="C18" s="13"/>
      <c r="BT18" t="s">
        <v>34</v>
      </c>
    </row>
    <row r="19" spans="3:72">
      <c r="C19" s="13"/>
      <c r="BT19" t="s">
        <v>41</v>
      </c>
    </row>
    <row r="20" spans="3:72">
      <c r="C20" s="13"/>
      <c r="BT20" t="s">
        <v>34</v>
      </c>
    </row>
    <row r="21" spans="3:72">
      <c r="C21" s="13"/>
      <c r="BT21" t="s">
        <v>56</v>
      </c>
    </row>
    <row r="22" spans="3:72">
      <c r="C22" s="13"/>
      <c r="BT22" t="s">
        <v>34</v>
      </c>
    </row>
    <row r="23" spans="3:72">
      <c r="C23" s="13"/>
      <c r="BT23" t="s">
        <v>82</v>
      </c>
    </row>
    <row r="24" spans="3:72">
      <c r="C24" s="13"/>
      <c r="BT24" t="s">
        <v>34</v>
      </c>
    </row>
    <row r="25" spans="3:72">
      <c r="C25" s="13"/>
      <c r="BT25" t="s">
        <v>40</v>
      </c>
    </row>
    <row r="26" spans="3:72">
      <c r="C26" s="13"/>
      <c r="BT26" t="s">
        <v>34</v>
      </c>
    </row>
    <row r="27" spans="3:72">
      <c r="C27" s="13"/>
      <c r="BT27" t="s">
        <v>55</v>
      </c>
    </row>
    <row r="28" spans="3:72">
      <c r="C28" s="13"/>
      <c r="BT28" t="s">
        <v>34</v>
      </c>
    </row>
    <row r="29" spans="3:72">
      <c r="C29" s="13"/>
      <c r="BT29" t="s">
        <v>39</v>
      </c>
    </row>
    <row r="30" spans="3:72">
      <c r="C30" s="13"/>
      <c r="BT30" t="s">
        <v>34</v>
      </c>
    </row>
    <row r="31" spans="3:72">
      <c r="C31" s="13"/>
      <c r="BT31" t="s">
        <v>72</v>
      </c>
    </row>
    <row r="32" spans="3:72">
      <c r="C32" s="13"/>
      <c r="BT32" t="s">
        <v>34</v>
      </c>
    </row>
    <row r="33" spans="3:72">
      <c r="C33" s="13"/>
      <c r="BT33" t="s">
        <v>38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バンド</vt:lpstr>
      <vt:lpstr>出演可能時間</vt:lpstr>
      <vt:lpstr>タイムテーブル</vt:lpstr>
      <vt:lpstr>result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春の祭典2025本編二次審査タイムテーブル</dc:title>
  <dc:subject/>
  <dc:creator>審査団</dc:creator>
  <cp:keywords/>
  <dc:description/>
  <cp:lastModifiedBy>cdfa3095</cp:lastModifiedBy>
  <cp:lastPrinted>2024-12-06T11:33:28Z</cp:lastPrinted>
  <dcterms:created xsi:type="dcterms:W3CDTF">2023-09-14T22:24:12Z</dcterms:created>
  <dcterms:modified xsi:type="dcterms:W3CDTF">2025-07-22T22:00:34Z</dcterms:modified>
  <cp:category/>
</cp:coreProperties>
</file>